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istre_Preuves" sheetId="1" state="visible" r:id="rId3"/>
    <sheet name="Analyse_Ecarts" sheetId="2" state="visible" r:id="rId4"/>
    <sheet name="Echelles" sheetId="3" state="visible" r:id="rId5"/>
  </sheets>
  <definedNames>
    <definedName function="false" hidden="true" localSheetId="1" name="_xlnm._FilterDatabase" vbProcedure="false">Analyse_Ecarts!$A$4:$J$36</definedName>
    <definedName function="false" hidden="true" localSheetId="0" name="_xlnm._FilterDatabase" vbProcedure="false">Registre_Preuves!$A$4:$K$40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<sst xmlns="http://schemas.openxmlformats.org/spreadsheetml/2006/main" count="718" uniqueCount="526">
  <si>
    <t xml:space="preserve">Livrable 5 - Registre de preuves (source -&gt; assertion -&gt; date -&gt; risque/mesure soutenu)</t>
  </si>
  <si>
    <t xml:space="preserve">Toutes les assertions sont paraphrasées à partir de la source. Date de consultation : 2026-10-04. Fiabilité : A primaire/faisant autorité, B secondaire réputée, C indicative seulement.</t>
  </si>
  <si>
    <t xml:space="preserve">ID</t>
  </si>
  <si>
    <t xml:space="preserve">Source</t>
  </si>
  <si>
    <t xml:space="preserve">URL</t>
  </si>
  <si>
    <t xml:space="preserve">Type de source</t>
  </si>
  <si>
    <t xml:space="preserve">Éditeur</t>
  </si>
  <si>
    <t xml:space="preserve">Date de publication / mise à jour</t>
  </si>
  <si>
    <t xml:space="preserve">Date de consultation</t>
  </si>
  <si>
    <t xml:space="preserve">Fiabilité</t>
  </si>
  <si>
    <t xml:space="preserve">Assertion (paraphrasée)</t>
  </si>
  <si>
    <t xml:space="preserve">Soutient (risques / mesures / valeurs)</t>
  </si>
  <si>
    <t xml:space="preserve">Limites</t>
  </si>
  <si>
    <t xml:space="preserve">E-01</t>
  </si>
  <si>
    <t xml:space="preserve">GitLab Inc. Formulaire 10-K (exercice clos le 31 janv. 2026) - Item 1 Activité</t>
  </si>
  <si>
    <t xml:space="preserve">https://www.sec.gov/Archives/edgar/data/1653482/000162828026018731/gtlb-20260131.htm</t>
  </si>
  <si>
    <t xml:space="preserve">Dépôt réglementaire</t>
  </si>
  <si>
    <t xml:space="preserve">GitLab Inc. / SEC</t>
  </si>
  <si>
    <t xml:space="preserve">2026-03-17</t>
  </si>
  <si>
    <t xml:space="preserve">2026-10-04</t>
  </si>
  <si>
    <t xml:space="preserve">A</t>
  </si>
  <si>
    <t xml:space="preserve">Décrit la plateforme DevSecOps d'orchestration intelligente ; chiffre d'affaires FY26 de 955,2 M$ (+26 %) ; plus de 50 M d'utilisateurs enregistrés ; plus de la moitié du Fortune 100 parmi les clients ; 10 682 clients de base ; plus de 70 % de l'ARR issu du secteur public et des grandes entreprises ; options de déploiement GitLab.com, auto-hébergé et Dedicated ; SLA de disponibilité mensuelle de 99,9 % pour le SaaS ; environ 2 580 membres dans 60 pays, en télétravail complet, engagés par embauche directe, PEO et prestataires ; plus de 5 200 contributeurs communautaires ; Duo Agent Platform en disponibilité générale en janv. 2026.</t>
  </si>
  <si>
    <t xml:space="preserve">VM-01..VM-07 ; R-01, R-03, R-05, R-08 ; SSC-01, SSC-02, PPL-01</t>
  </si>
  <si>
    <t xml:space="preserve">Rédigé par l'entreprise ; ton commercial par endroits.</t>
  </si>
  <si>
    <t xml:space="preserve">E-02</t>
  </si>
  <si>
    <t xml:space="preserve">GitLab Inc. Formulaire 10-K (FY2026) - Item 1A Facteurs de risque</t>
  </si>
  <si>
    <t xml:space="preserve">Cite comme risques significatifs : violations de sécurité et de vie privée, exposition de la chaîne d'approvisionnement open source, vecteurs d'attaque propres à l'IA et dépendance aux fournisseurs d'IA, risque accru lié à l'exécution de code client, dépendance aux sous-traitants, possible faiblesse de reprise après panne régionale, et risques de la transparence radicale et de l'exactitude du handbook.</t>
  </si>
  <si>
    <t xml:space="preserve">R-03, R-04, R-05, R-06, R-09, R-13 ; SSC-02, CLD-03, TRN-01</t>
  </si>
  <si>
    <t xml:space="preserve">Langage de risque générique ; pas une preuve de mesure.</t>
  </si>
  <si>
    <t xml:space="preserve">E-03</t>
  </si>
  <si>
    <t xml:space="preserve">GitLab Inc. Formulaire 10-K (FY2026) - Item 1C Cybersécurité</t>
  </si>
  <si>
    <t xml:space="preserve">Programme de sécurité piloté par le RSSI avec plus de 120 praticiens ; le RSSI est parti le 26 févr. 2026 et le VP Opérations de sécurité assure l'intérim pendant la recherche ; les risques sont évalués, priorisés et intégrés à l'ERM piloté par l'Audit interne ; les incidents potentiellement significatifs sont escaladés à la direction et au conseil ; le comité d'audit supervise le risque cyber.</t>
  </si>
  <si>
    <t xml:space="preserve">R-11 ; GOV-01, GOV-02, GOV-04, RES-03</t>
  </si>
  <si>
    <t xml:space="preserve">Publication de haut niveau.</t>
  </si>
  <si>
    <t xml:space="preserve">E-04</t>
  </si>
  <si>
    <t xml:space="preserve">GitLab Inc. Formulaire 10-K (FY2025) - gouvernance</t>
  </si>
  <si>
    <t xml:space="preserve">https://www.sec.gov/Archives/edgar/data/1653482/000162828025014344/gtlb-20250131.htm</t>
  </si>
  <si>
    <t xml:space="preserve">2025-03-21</t>
  </si>
  <si>
    <t xml:space="preserve">Confirme que le comité d'audit supervise les risques et incidents de cybersécurité et que les programmes de gestion sont pilotés par le RSSI, le directeur juridique et le DAF.</t>
  </si>
  <si>
    <t xml:space="preserve">R-11 ; GOV-01</t>
  </si>
  <si>
    <t xml:space="preserve">Dépôt de l'exercice précédent ; en partie remplacé par E-03.</t>
  </si>
  <si>
    <t xml:space="preserve">E-05</t>
  </si>
  <si>
    <t xml:space="preserve">Trust Center de GitLab</t>
  </si>
  <si>
    <t xml:space="preserve">https://trust.gitlab.com/</t>
  </si>
  <si>
    <t xml:space="preserve">Portail de confiance de l'éditeur</t>
  </si>
  <si>
    <t xml:space="preserve">GitLab</t>
  </si>
  <si>
    <t xml:space="preserve">Consulté le 2026-10-04</t>
  </si>
  <si>
    <t xml:space="preserve">Liste les rapports SOC 2 2025 pour GitLab.com et Dedicated, une lettre de continuité 2025-26, un certificat ISO couvrant 27001/27017/27018, la certification ISO/IEC 42001 pour la gouvernance de l'IA, une synthèse de test d'intrusion, des politiques (gestion des accès, journalisation d'audit, usage acceptable) et une base de connaissances incluant des questions sur l'ERM.</t>
  </si>
  <si>
    <t xml:space="preserve">VM-06 ; R-12 ; GOV-02, GOV-03, CMP-01, CMP-02, AI-01</t>
  </si>
  <si>
    <t xml:space="preserve">Les rapports eux-mêmes sont à accès restreint.</t>
  </si>
  <si>
    <t xml:space="preserve">E-06</t>
  </si>
  <si>
    <t xml:space="preserve">Handbook GitLab - Audits externes, certifications et attestations</t>
  </si>
  <si>
    <t xml:space="preserve">https://handbook.gitlab.com/handbook/security/security-assurance/security-compliance/certifications/</t>
  </si>
  <si>
    <t xml:space="preserve">Handbook de l'éditeur</t>
  </si>
  <si>
    <t xml:space="preserve">Indique que GitLab maintient l'autorisation FedRAMP Moderate pour Dedicated for Government, ISO/IEC 42001, et cite FedRAMP High comme objectif ; les certifications sont étendues selon la demande des clients et la réglementation.</t>
  </si>
  <si>
    <t xml:space="preserve">R-07, R-12 ; CMP-01, CLD-02</t>
  </si>
  <si>
    <t xml:space="preserve">Le handbook peut retarder sur la réalité (le 10-K le note).</t>
  </si>
  <si>
    <t xml:space="preserve">E-07</t>
  </si>
  <si>
    <t xml:space="preserve">Handbook GitLab - Certifications de sécurité Dedicated</t>
  </si>
  <si>
    <t xml:space="preserve">https://handbook.gitlab.com/handbook/security/security-assurance/dedicated-compliance/certifications/</t>
  </si>
  <si>
    <t xml:space="preserve">B</t>
  </si>
  <si>
    <t xml:space="preserve">Liste SOC 2 Type 2, surveillance ISO 27001:2013, ISO 27017 et 27018 comme actuels pour Dedicated, et ISO 27001:2022, FedRAMP Moderate et ISO 27701 comme éléments prévus pour FY25.</t>
  </si>
  <si>
    <t xml:space="preserve">R-12 ; CMP-01</t>
  </si>
  <si>
    <t xml:space="preserve">Le contenu de la page semble daté par rapport à E-05/E-06 ; utilisée pour signaler l'incohérence.</t>
  </si>
  <si>
    <t xml:space="preserve">E-08</t>
  </si>
  <si>
    <t xml:space="preserve">Communiqué de presse GitLab - extension du portefeuille de certifications et de rapports de sécurité</t>
  </si>
  <si>
    <t xml:space="preserve">https://about.gitlab.com/press/releases/2023-01-26-gitlab-expands-security-certification-report-portfolio</t>
  </si>
  <si>
    <t xml:space="preserve">Communiqué de presse</t>
  </si>
  <si>
    <t xml:space="preserve">2023-01-26</t>
  </si>
  <si>
    <t xml:space="preserve">Dedicated ajouté au périmètre ISO 27001 ; SOC 2 Type 1 pour Dedicated ; critère Disponibilité ajouté au SOC 2 de GitLab.com ; extension ISO 27017/27018.</t>
  </si>
  <si>
    <t xml:space="preserve">Historique (2023).</t>
  </si>
  <si>
    <t xml:space="preserve">E-09</t>
  </si>
  <si>
    <t xml:space="preserve">Liste des sous-traitants de GitLab</t>
  </si>
  <si>
    <t xml:space="preserve">https://about.gitlab.com/privacy/subprocessors</t>
  </si>
  <si>
    <t xml:space="preserve">Divulgation de l'éditeur</t>
  </si>
  <si>
    <t xml:space="preserve">Nomme des sous-traitants dont Google (hébergement cloud, support, fonctions d'IA), AWS (hébergement ; choix de région pour Dedicated), Zendesk (portail de support), Elasticsearch (recherche/journalisation), Snowflake (chaîne de données de support), OpenAI (fonctions d'IA), des fournisseurs de support externalisé et un fournisseur de protection contre l'injection de prompt ; propose des notifications de changement.</t>
  </si>
  <si>
    <t xml:space="preserve">R-04, R-08 ; TPM-01, AI-03, CLD-01</t>
  </si>
  <si>
    <t xml:space="preserve">Exactitude de la liste tenue par l'éditeur.</t>
  </si>
  <si>
    <t xml:space="preserve">E-10</t>
  </si>
  <si>
    <t xml:space="preserve">GitLab Docs - Architecture de GitLab Dedicated</t>
  </si>
  <si>
    <t xml:space="preserve">https://docs.gitlab.com/administration/dedicated/architecture</t>
  </si>
  <si>
    <t xml:space="preserve">Documentation produit</t>
  </si>
  <si>
    <t xml:space="preserve">Les tenants Dedicated résident dans des comptes AWS dédiés, dans des VPC isolés sous une organisation mère gérée par GitLab ; l'application Switchboard gère la configuration partagée ; Geo assure la reprise ; AWS PrivateLink optionnel ; les runners hébergés par GitLab s'exécutent dans un compte AWS distinct géré par GitLab.</t>
  </si>
  <si>
    <t xml:space="preserve">VM-02 ; R-07 ; CLD-02, TPM-02</t>
  </si>
  <si>
    <t xml:space="preserve">Synthèse d'architecture seulement.</t>
  </si>
  <si>
    <t xml:space="preserve">E-11</t>
  </si>
  <si>
    <t xml:space="preserve">GitLab Docs (archive 16.7) - GitLab Dedicated</t>
  </si>
  <si>
    <t xml:space="preserve">https://archives.docs.gitlab.com/16.7/ee/subscriptions/gitlab_dedicated</t>
  </si>
  <si>
    <t xml:space="preserve">Archivé</t>
  </si>
  <si>
    <t xml:space="preserve">Les clients choisissent la région AWS et des régions secondaire et de copie de sauvegarde optionnelles ; les environnements de tenants sont isolés de GitLab.com ; liste d'autorisation d'IP disponible.</t>
  </si>
  <si>
    <t xml:space="preserve">R-07 ; CLD-02, CLD-04</t>
  </si>
  <si>
    <t xml:space="preserve">Version archivée.</t>
  </si>
  <si>
    <t xml:space="preserve">E-12</t>
  </si>
  <si>
    <t xml:space="preserve">Handbook GitLab - Reprise après sinistre de GitLab.com</t>
  </si>
  <si>
    <t xml:space="preserve">https://handbook.gitlab.com/handbook/engineering/gitlab-com/policies/disaster-recovery/</t>
  </si>
  <si>
    <t xml:space="preserve">Des Game Days trimestriels de reprise valident les RTO/RPO ; sauvegardes dans un stockage objet multi-régions ; tests de restauration automatisés quotidiens des bases applicatives ; GitLab.com est déployé sur plusieurs zones GCP de us-east1.</t>
  </si>
  <si>
    <t xml:space="preserve">R-05 ; RES-01, RES-02, TPM-02</t>
  </si>
  <si>
    <t xml:space="preserve">Déclaration de politique ; résultats non publiés.</t>
  </si>
  <si>
    <t xml:space="preserve">E-13</t>
  </si>
  <si>
    <t xml:space="preserve">GitLab Docs - Plan directeur de reprise après sinistre de GitLab.com</t>
  </si>
  <si>
    <t xml:space="preserve">https://docs.gitlab.com/ee/architecture/blueprints/disaster_recovery/</t>
  </si>
  <si>
    <t xml:space="preserve">Document de conception</t>
  </si>
  <si>
    <t xml:space="preserve">Conception en cours qui note une exploitation mono-région, qu'une panne zonale complète n'avait pas été simulée et que la reprise régionale n'avait pas été validée de bout en bout lors de la rédaction ; évoque un RPO d'exploitation de 4 heures et un RTO zonal cible de 2 heures.</t>
  </si>
  <si>
    <t xml:space="preserve">R-05 ; RES-01</t>
  </si>
  <si>
    <t xml:space="preserve">Document de conception ; peut précéder des améliorations ultérieures. Traité comme point de vigilance, pas comme fait actuel.</t>
  </si>
  <si>
    <t xml:space="preserve">E-14</t>
  </si>
  <si>
    <t xml:space="preserve">GitLab Docs (archive 17.0) - Reprise après sinistre Cells 1.0</t>
  </si>
  <si>
    <t xml:space="preserve">https://archives.docs.gitlab.com/17.0/ee/architecture/blueprints/cells/infrastructure/disaster_recovery.html</t>
  </si>
  <si>
    <t xml:space="preserve">Objectifs pour la cellule primaire d'environ 2 heures de RTO et 1 heure de RPO ; Geo comme stratégie de reprise pour les cellules ; tests de restauration périodiques requis ; une défaillance régionale nécessite une reconstruction.</t>
  </si>
  <si>
    <t xml:space="preserve">Intention de conception, pas résultat vérifié.</t>
  </si>
  <si>
    <t xml:space="preserve">E-15</t>
  </si>
  <si>
    <t xml:space="preserve">Handbook GitLab - SLA et plan de reprise de GitLab Dedicated</t>
  </si>
  <si>
    <t xml:space="preserve">https://handbook.gitlab.com/handbook/engineering/infrastructure/team/gitlab-dedicated/slas</t>
  </si>
  <si>
    <t xml:space="preserve">Dedicated a un objectif de niveau de service et un plan de reprise définis ; les cibles RTO/RPO s'appliquent lorsque les clients précisent des régions primaire et secondaire supportées ; GitLab indique tester régulièrement le plan.</t>
  </si>
  <si>
    <t xml:space="preserve">R-05, R-07 ; RES-01</t>
  </si>
  <si>
    <t xml:space="preserve">Cibles, pas résultats.</t>
  </si>
  <si>
    <t xml:space="preserve">E-16</t>
  </si>
  <si>
    <t xml:space="preserve">Handbook GitLab - Politique de gestion des accès (document contrôlé)</t>
  </si>
  <si>
    <t xml:space="preserve">https://handbook.gitlab.com/handbook/security/security-and-technology-policies/access-management-policy/</t>
  </si>
  <si>
    <t xml:space="preserve">Politique de l'éditeur</t>
  </si>
  <si>
    <t xml:space="preserve">Les demandes d'accès sont approuvées avant modification ; changements et revues documentés ; un processus d'exception existe ; l'accès est retiré à la cessation d'emploi et ajusté lors d'un transfert ; des revues d'accès périodiques sont requises ; les changements de politique nécessitent l'approbation des propriétaires de code ; les mesures sont référencées à des identifiants de type NIST.</t>
  </si>
  <si>
    <t xml:space="preserve">R-01, R-08 ; IAM-01, IAM-03, GOV-03, PPL-02</t>
  </si>
  <si>
    <t xml:space="preserve">Intention de politique ; couverture et fréquence non indiquées.</t>
  </si>
  <si>
    <t xml:space="preserve">E-17</t>
  </si>
  <si>
    <t xml:space="preserve">Handbook GitLab - Politique de gestion des accès (moindre privilège)</t>
  </si>
  <si>
    <t xml:space="preserve">https://handbook.gitlab.com/handbook/security/access-management-policy</t>
  </si>
  <si>
    <t xml:space="preserve">L'accès suit le moindre privilège et le besoin d'en connaître ; les revues du moindre privilège sont menées par les administrateurs de systèmes et les managers ; l'Assurance sécurité met en œuvre la politique et la direction approuve les exceptions.</t>
  </si>
  <si>
    <t xml:space="preserve">R-01 ; IAM-01</t>
  </si>
  <si>
    <t xml:space="preserve">Comme E-16.</t>
  </si>
  <si>
    <t xml:space="preserve">E-18</t>
  </si>
  <si>
    <t xml:space="preserve">Blog GitLab - Avancement de l'engagement Secure by Design</t>
  </si>
  <si>
    <t xml:space="preserve">https://about.gitlab.com/blog/last-year-we-signed-the-secure-by-design-pledge-heres-our-progress/</t>
  </si>
  <si>
    <t xml:space="preserve">Blog de l'éditeur</t>
  </si>
  <si>
    <t xml:space="preserve">2025-06-09</t>
  </si>
  <si>
    <t xml:space="preserve">Rapporte l'avancement aligné sur la CISA : plusieurs options de MFA et le SSO, MFA par défaut prévu pour les utilisateurs hors SSO, politique de maintenance publiée, bug bounty HackerOne, security.txt, CWE dans chaque enregistrement CVE, et objectif de politique de divulgation des vulnérabilités.</t>
  </si>
  <si>
    <t xml:space="preserve">R-02, R-10 ; IAM-02, SSC-03, SSC-05</t>
  </si>
  <si>
    <t xml:space="preserve">Rapport d'avancement ; achèvement du MFA par défaut non confirmé.</t>
  </si>
  <si>
    <t xml:space="preserve">E-19</t>
  </si>
  <si>
    <t xml:space="preserve">GitLab - Processus de divulgation coordonnée</t>
  </si>
  <si>
    <t xml:space="preserve">https://about.gitlab.com/security/disclosure/</t>
  </si>
  <si>
    <t xml:space="preserve">Les vulnérabilités sont signalées via HackerOne ou des issues confidentielles ; GitLab publie les vulnérabilités sauf s'il est impossible de les masquer ; les règles d'engagement de test d'intrusion exigent une coordination.</t>
  </si>
  <si>
    <t xml:space="preserve">R-02 ; SSC-03</t>
  </si>
  <si>
    <t xml:space="preserve">Description de processus.</t>
  </si>
  <si>
    <t xml:space="preserve">E-20</t>
  </si>
  <si>
    <t xml:space="preserve">The Hacker News - La CISA alerte sur l'exploitation active d'une faille de réinitialisation de mot de passe de GitLab</t>
  </si>
  <si>
    <t xml:space="preserve">https://thehackernews.com/2024/05/cisa-warns-of-active-exploitation-of.html</t>
  </si>
  <si>
    <t xml:space="preserve">Presse de sécurité</t>
  </si>
  <si>
    <t xml:space="preserve">The Hacker News</t>
  </si>
  <si>
    <t xml:space="preserve">2024-05</t>
  </si>
  <si>
    <t xml:space="preserve">CVE-2023-7028 (CVSS 10) permettait d'envoyer des e-mails de réinitialisation à une adresse non vérifiée, rendant possible la prise de contrôle de compte ; introduite en 16.1.0 (mai 2023), corrigée en janvier 2024 et ajoutée au KEV de la CISA en mai 2024 ; la 2FA empêchait la prise de contrôle.</t>
  </si>
  <si>
    <t xml:space="preserve">R-01, R-02 ; SSC-04</t>
  </si>
  <si>
    <t xml:space="preserve">Reprise secondaire de données de l'éditeur/CISA.</t>
  </si>
  <si>
    <t xml:space="preserve">E-21</t>
  </si>
  <si>
    <t xml:space="preserve">SC Media - Faille de prise de contrôle de compte GitLab ajoutée au KEV</t>
  </si>
  <si>
    <t xml:space="preserve">https://scmagazine.com/news/critical-gitlab-account-takeover-flaw-added-to-cisas-kev-catalog</t>
  </si>
  <si>
    <t xml:space="preserve">SC Media</t>
  </si>
  <si>
    <t xml:space="preserve">Shadowserver a dénombré plus de 5 300 instances vulnérables deux semaines après la divulgation et plus de 2 100 encore exposées en mai 2024 ; les agences fédérales devaient corriger avant le 22 mai 2024.</t>
  </si>
  <si>
    <t xml:space="preserve">R-10 ; SSC-05</t>
  </si>
  <si>
    <t xml:space="preserve">Comptages d'instances ponctuels.</t>
  </si>
  <si>
    <t xml:space="preserve">E-22</t>
  </si>
  <si>
    <t xml:space="preserve">GitLab Docs - Release de correctifs critiques 19.3.2, 19.2.6, 19.1.8</t>
  </si>
  <si>
    <t xml:space="preserve">https://docs.gitlab.com/releases/patches/patch-release-gitlab-19-3-2-released/</t>
  </si>
  <si>
    <t xml:space="preserve">Avis de l'éditeur</t>
  </si>
  <si>
    <t xml:space="preserve">2026-09-10/11</t>
  </si>
  <si>
    <t xml:space="preserve">Corrige 17 vulnérabilités dont une traversée de chemin critique (CVE-2026-85706, CVSS 10) dans l'API des commits du dépôt permettant des lectures de fichiers non authentifiées, et une désérialisation CVSS 9,9 dans les abonnements GraphQL ; GitLab.com déjà corrigé ; CVE-2026-85706 inscrite au KEV de la CISA ; correctifs rétroportés le 23 sept. 2026.</t>
  </si>
  <si>
    <t xml:space="preserve">R-02, R-06, R-10 ; SSC-03, SSC-04</t>
  </si>
  <si>
    <t xml:space="preserve">Avis de l'éditeur ; pas de télémétrie d'exploitation.</t>
  </si>
  <si>
    <t xml:space="preserve">E-23</t>
  </si>
  <si>
    <t xml:space="preserve">CyberScoop - La faille critique de GitLab attire déjà des sondages à l'échelle d'Internet</t>
  </si>
  <si>
    <t xml:space="preserve">https://cyberscoop.com/gitlab-critical-flaws-path-traversal-scans/</t>
  </si>
  <si>
    <t xml:space="preserve">CyberScoop</t>
  </si>
  <si>
    <t xml:space="preserve">2026-09-11</t>
  </si>
  <si>
    <t xml:space="preserve">Rapporte une lecture arbitraire de fichier non authentifiée (CVSS 10) affectant les releases à partir de 18.7 et des sondages à l'échelle d'Internet, ainsi qu'un problème 9,9 où un utilisateur ayant accès à Duo Chat pouvait récupérer la configuration et les identifiants du service de recherche.</t>
  </si>
  <si>
    <t xml:space="preserve">R-02, R-06 ; SSC-04, AI-02</t>
  </si>
  <si>
    <t xml:space="preserve">Synthèse de presse de données de l'éditeur.</t>
  </si>
  <si>
    <t xml:space="preserve">E-24</t>
  </si>
  <si>
    <t xml:space="preserve">Hive Pro - Traversée de chemin de GitLab (CVE-2026-85706) exploitée pour voler des secrets</t>
  </si>
  <si>
    <t xml:space="preserve">https://www.hivepro.com/threat-advisory/gitlab-path-traversal-cve-2026-85706-exploited-to-steal-secrets</t>
  </si>
  <si>
    <t xml:space="preserve">Avis de menace</t>
  </si>
  <si>
    <t xml:space="preserve">Hive Pro</t>
  </si>
  <si>
    <t xml:space="preserve">2026-09</t>
  </si>
  <si>
    <t xml:space="preserve">Rapporte que des chercheurs ont reproduit la faille dans les heures suivant la publication du correctif et que des honeypots ont observé le passage du sondage à une exfiltration réussie de fichiers (configuration et paramètres SSH) durant le week-end suivant.</t>
  </si>
  <si>
    <t xml:space="preserve">R-02, R-10 ; MON-02</t>
  </si>
  <si>
    <t xml:space="preserve">Rapport de renseignement d'un éditeur.</t>
  </si>
  <si>
    <t xml:space="preserve">E-25</t>
  </si>
  <si>
    <t xml:space="preserve">InfoQ - Vulnérabilité de GitLab sous exploitation active</t>
  </si>
  <si>
    <t xml:space="preserve">https://www.infoq.com/news/2026/10/gitlab-critical-vulnerabilities/</t>
  </si>
  <si>
    <t xml:space="preserve">Presse technique</t>
  </si>
  <si>
    <t xml:space="preserve">InfoQ</t>
  </si>
  <si>
    <t xml:space="preserve">2026-10</t>
  </si>
  <si>
    <t xml:space="preserve">Décrit les plages de versions affectées et le fait que des correctifs ont été rétroportés deux semaines après la release initiale vers deux branches en fin de vie.</t>
  </si>
  <si>
    <t xml:space="preserve">Reprise secondaire.</t>
  </si>
  <si>
    <t xml:space="preserve">E-26</t>
  </si>
  <si>
    <t xml:space="preserve">daily.dev - Release de correctifs critiques GitLab 19.4.1, 19.3.3, 19.2.7</t>
  </si>
  <si>
    <t xml:space="preserve">https://daily.dev/posts/gitlab-critical-patch-release-19-4-1-19-3-3-19-2-7-rdpef3qur</t>
  </si>
  <si>
    <t xml:space="preserve">Synthèse d'agrégateur</t>
  </si>
  <si>
    <t xml:space="preserve">daily.dev</t>
  </si>
  <si>
    <t xml:space="preserve">2026-09-23</t>
  </si>
  <si>
    <t xml:space="preserve">C</t>
  </si>
  <si>
    <t xml:space="preserve">Résume une release du 23 sept. 2026 corrigeant 11 vulnérabilités, dont deux RCE CVSS 9,9 dans le parseur/compilateur d'expressions régulières de la CI/CD, un XSS 8,7 dans la visionneuse de diff des merge requests, et des problèmes d'autorisation touchant Duo, les jetons MCP et GraphQL.</t>
  </si>
  <si>
    <t xml:space="preserve">R-02, R-06 ; SSC-04, AI-02, IAM-04</t>
  </si>
  <si>
    <t xml:space="preserve">Synthèse d'agrégateur d'une release de l'éditeur ; à vérifier dans les notes de version GitLab.</t>
  </si>
  <si>
    <t xml:space="preserve">E-27</t>
  </si>
  <si>
    <t xml:space="preserve">The Hacker News - Vulnérabilité de GitLab Duo (recherche de Legit Security)</t>
  </si>
  <si>
    <t xml:space="preserve">https://thehackernews.com/2025/05/gitlab-duo-vulnerability-enabled.html</t>
  </si>
  <si>
    <t xml:space="preserve">2025-05</t>
  </si>
  <si>
    <t xml:space="preserve">Des chercheurs ont montré qu'une injection de prompt indirecte dans Duo Chat pouvait exfiltrer du code source privé, manipuler les suggestions et injecter du HTML dans les réponses ; elle reposait sur des instructions cachées dans des merge requests et contenus similaires.</t>
  </si>
  <si>
    <t xml:space="preserve">R-06 ; AI-01, AI-02</t>
  </si>
  <si>
    <t xml:space="preserve">Vulnérabilité rapportée comme corrigée ; présentée pour la pertinence de la classe d'attaque.</t>
  </si>
  <si>
    <t xml:space="preserve">E-28</t>
  </si>
  <si>
    <t xml:space="preserve">HKCERT - Multiples vulnérabilités de GitLab</t>
  </si>
  <si>
    <t xml:space="preserve">https://www.hkcert.org/tc/security-bulletin/gitlab-multiple-vulnerabilities_20260914</t>
  </si>
  <si>
    <t xml:space="preserve">Bulletin CERT</t>
  </si>
  <si>
    <t xml:space="preserve">HKCERT</t>
  </si>
  <si>
    <t xml:space="preserve">2026-09-14</t>
  </si>
  <si>
    <t xml:space="preserve">Corrobore de multiples vulnérabilités de GitLab dont exécution de code à distance et divulgation d'informations, avec CVE-2026-85706 signalée comme largement exploitée.</t>
  </si>
  <si>
    <t xml:space="preserve">R-02</t>
  </si>
  <si>
    <t xml:space="preserve">Bulletin en chinois ; corroboration seulement.</t>
  </si>
  <si>
    <t xml:space="preserve">E-29</t>
  </si>
  <si>
    <t xml:space="preserve">UpGuard - Notation de sécurité et rapport de risque fournisseur de GitLab</t>
  </si>
  <si>
    <t xml:space="preserve">https://www.upguard.com/security-report/gitlab</t>
  </si>
  <si>
    <t xml:space="preserve">Service de notation</t>
  </si>
  <si>
    <t xml:space="preserve">UpGuard</t>
  </si>
  <si>
    <t xml:space="preserve">La synthèse de scan externe relève quelques observations de durcissement web et rapporte des détections de logiciels malveillants de type infostealer sur des systèmes associés à l'organisation.</t>
  </si>
  <si>
    <t xml:space="preserve">R-01 ; IAM-02, MON-02</t>
  </si>
  <si>
    <t xml:space="preserve">Notation externe automatisée ; indicateur seulement, ne peut confirmer aucune violation.</t>
  </si>
  <si>
    <t xml:space="preserve">E-30</t>
  </si>
  <si>
    <t xml:space="preserve">Built In - Offre d'emploi Senior Manager Security Compliance de GitLab</t>
  </si>
  <si>
    <t xml:space="preserve">https://www.builtinboston.com/job/senior-manager-security-compliance/10014280</t>
  </si>
  <si>
    <t xml:space="preserve">Offre d'emploi</t>
  </si>
  <si>
    <t xml:space="preserve">Built In / GitLab</t>
  </si>
  <si>
    <t xml:space="preserve">2026</t>
  </si>
  <si>
    <t xml:space="preserve">Indique que l'équipe conformité supervise et élargit un portefeuille couvrant ISO 27001/17/18, ISO 42001, SOC 2, PCI, TISAX, Cyber Essentials et FedRAMP, avec automatisation et workflows de conformité assistés par IA.</t>
  </si>
  <si>
    <t xml:space="preserve">Offre d'emploi - langage aspirationnel.</t>
  </si>
  <si>
    <t xml:space="preserve">E-31</t>
  </si>
  <si>
    <t xml:space="preserve">board-cybersecurity.com - Suivi de la gouvernance de GitLab</t>
  </si>
  <si>
    <t xml:space="preserve">https://www.board-cybersecurity.com/governance/tracker/gitlab</t>
  </si>
  <si>
    <t xml:space="preserve">Agrégateur</t>
  </si>
  <si>
    <t xml:space="preserve">board-cybersecurity.com</t>
  </si>
  <si>
    <t xml:space="preserve">2026-03-18</t>
  </si>
  <si>
    <t xml:space="preserve">Un suivi tiers confirme un rôle de RSSI désigné et une supervision du comité d'audit sur la cybersécurité dans les dépôts SEC.</t>
  </si>
  <si>
    <t xml:space="preserve">Dérivé des dépôts.</t>
  </si>
  <si>
    <t xml:space="preserve">E-32</t>
  </si>
  <si>
    <t xml:space="preserve">GCVE / enregistrement KEV de la CISA pour CVE-2023-7028</t>
  </si>
  <si>
    <t xml:space="preserve">https://db.gcve.eu/cve/CVE-2023-7028</t>
  </si>
  <si>
    <t xml:space="preserve">Base de vulnérabilités</t>
  </si>
  <si>
    <t xml:space="preserve">GCVE / CISA</t>
  </si>
  <si>
    <t xml:space="preserve">Confirme CVE-2023-7028 comme vulnérabilité exploitée connue (KEV) de la CISA avec une échéance fédérale de correction au 22 mai 2024.</t>
  </si>
  <si>
    <t xml:space="preserve">R-02 ; MON-02</t>
  </si>
  <si>
    <t xml:space="preserve">Miroir du catalogue CISA.</t>
  </si>
  <si>
    <t xml:space="preserve">E-33</t>
  </si>
  <si>
    <t xml:space="preserve">SecurityOnline - La release de correctifs critiques de GitLab corrige de graves failles RCE</t>
  </si>
  <si>
    <t xml:space="preserve">https://securityonline.info/gitlab-critical-patch-release-rce/</t>
  </si>
  <si>
    <t xml:space="preserve">SecurityOnline</t>
  </si>
  <si>
    <t xml:space="preserve">Rapporte la série de correctifs du 23 sept. 2026 avec deux RCE CVSS 9,9 et un XSS de gravité élevée ; incite les utilisateurs auto-hébergés à mettre à niveau.</t>
  </si>
  <si>
    <t xml:space="preserve">R-02, R-10</t>
  </si>
  <si>
    <t xml:space="preserve">Agrégateur ; corroboration seulement.</t>
  </si>
  <si>
    <t xml:space="preserve">E-34</t>
  </si>
  <si>
    <t xml:space="preserve">GitLab Docs - Bonnes pratiques d'authentification et d'autorisation</t>
  </si>
  <si>
    <t xml:space="preserve">https://docs.gitlab.com/ee/auth/auth_practices.html</t>
  </si>
  <si>
    <t xml:space="preserve">Consignes destinées aux clients sur le moindre privilège, la gestion des jetons, les rôles d'auditeur, l'accès non humain des pipelines et la surveillance des schémas d'accès.</t>
  </si>
  <si>
    <t xml:space="preserve">R-01 ; IAM-04</t>
  </si>
  <si>
    <t xml:space="preserve">Décrit la pratique côté client, pas les mesures internes de GitLab.</t>
  </si>
  <si>
    <t xml:space="preserve">E-35</t>
  </si>
  <si>
    <t xml:space="preserve">Blog GitLab - Principales fonctions de conformité à exploiter dans GitLab</t>
  </si>
  <si>
    <t xml:space="preserve">https://about.gitlab.com/blog/top-5-compliance-features-to-leverage-in-gitlab/</t>
  </si>
  <si>
    <t xml:space="preserve">2022-07-13</t>
  </si>
  <si>
    <t xml:space="preserve">Explique les fonctions produit qui imposent le MFA, les branches protégées et les approbations de merge request pour soutenir la séparation des tâches chez les clients.</t>
  </si>
  <si>
    <t xml:space="preserve">R-03 ; IAM-01</t>
  </si>
  <si>
    <t xml:space="preserve">Destiné aux clients ; pas une déclaration de mesure interne.</t>
  </si>
  <si>
    <t xml:space="preserve">E-36</t>
  </si>
  <si>
    <t xml:space="preserve">Blog GitLab - Quel est le niveau de sécurité de GitLab ? (SOC 2 et cadre de contrôle)</t>
  </si>
  <si>
    <t xml:space="preserve">https://about.gitlab.com/blog/soc2-compliance/</t>
  </si>
  <si>
    <t xml:space="preserve">2020-06-24</t>
  </si>
  <si>
    <t xml:space="preserve">Présente le GitLab Control Framework rapproché de SOC 2, ISO 27001, PCI et FedRAMP et le parcours SOC 2 Type 1 vers Type 2.</t>
  </si>
  <si>
    <t xml:space="preserve">VM-06 ; CMP-01, GOV-03</t>
  </si>
  <si>
    <t xml:space="preserve">Historique (2020).</t>
  </si>
  <si>
    <t xml:space="preserve">Répartition par fiabilité</t>
  </si>
  <si>
    <t xml:space="preserve">Analyse d'écarts : exigence PSSI vs preuves publiques</t>
  </si>
  <si>
    <t xml:space="preserve">Non vérifiable publiquement ne signifie PAS absent. Le niveau est une saisie sur fond gris ; le libellé d'évaluation est une formule.</t>
  </si>
  <si>
    <t xml:space="preserve">Exigence</t>
  </si>
  <si>
    <t xml:space="preserve">Intitulé</t>
  </si>
  <si>
    <t xml:space="preserve">Domaine</t>
  </si>
  <si>
    <t xml:space="preserve">Risques liés</t>
  </si>
  <si>
    <t xml:space="preserve">Preuves publiques trouvées</t>
  </si>
  <si>
    <t xml:space="preserve">ID des preuves</t>
  </si>
  <si>
    <t xml:space="preserve">Niveau (0-3)</t>
  </si>
  <si>
    <t xml:space="preserve">Évaluation</t>
  </si>
  <si>
    <t xml:space="preserve">Observation / écart</t>
  </si>
  <si>
    <t xml:space="preserve">Recommandation</t>
  </si>
  <si>
    <t xml:space="preserve">GOV-01</t>
  </si>
  <si>
    <t xml:space="preserve">Leadership et responsabilité de la sécurité</t>
  </si>
  <si>
    <t xml:space="preserve">Gouvernance et gestion des risques</t>
  </si>
  <si>
    <t xml:space="preserve">R-11, R-01, R-02</t>
  </si>
  <si>
    <t xml:space="preserve">L'Item 1C du 10-K décrit un programme piloté par le RSSI avec plus de 120 praticiens et une supervision du comité d'audit. Le RSSI est parti le 26 févr. 2026 ; le VP Opérations de sécurité assure l'intérim pendant la recherche.</t>
  </si>
  <si>
    <t xml:space="preserve">E-03, E-04, E-31</t>
  </si>
  <si>
    <t xml:space="preserve">La structure de gouvernance est claire ; la continuité du leadership est un risque de transition. L'effet sur la responsabilité des risques et le parrainage de la feuille de route n'est pas visible de l'extérieur.</t>
  </si>
  <si>
    <t xml:space="preserve">Publier en interne une charte de continuité de la gouvernance et veiller à ce que le futur RSSI hérite d'un plan à 90 jours incluant cette feuille de route.</t>
  </si>
  <si>
    <t xml:space="preserve">GOV-02</t>
  </si>
  <si>
    <t xml:space="preserve">Intégration de la gestion des risques</t>
  </si>
  <si>
    <t xml:space="preserve">R-11</t>
  </si>
  <si>
    <t xml:space="preserve">Le 10-K indique que les risques identifiés sont évalués, priorisés et intégrés à un programme ERM piloté par l'Audit interne ; la FAQ du Trust Center traite de l'ERM.</t>
  </si>
  <si>
    <t xml:space="preserve">E-03, E-05</t>
  </si>
  <si>
    <t xml:space="preserve">La méthode, les échelles et la quantification ne sont pas publiques ; les critères d'acceptation ne peuvent pas être vérifiés.</t>
  </si>
  <si>
    <t xml:space="preserve">Adopter des échelles documentées en interne (cf. cette étude), ajouter une quantification des pertes pour les principaux risques et rejouer EBIOS RM chaque année.</t>
  </si>
  <si>
    <t xml:space="preserve">GOV-03</t>
  </si>
  <si>
    <t xml:space="preserve">Gestion des politiques et des exceptions</t>
  </si>
  <si>
    <t xml:space="preserve">R-11, R-12</t>
  </si>
  <si>
    <t xml:space="preserve">La politique de gestion des accès est un document contrôlé public avec propriétaires de code, un processus d'exception et des références de contrôles ; le Trust Center liste d'autres politiques (journalisation d'audit, usage acceptable).</t>
  </si>
  <si>
    <t xml:space="preserve">E-16, E-05</t>
  </si>
  <si>
    <t xml:space="preserve">Solides preuves documentaires ; volumes et ancienneté des exceptions non visibles.</t>
  </si>
  <si>
    <t xml:space="preserve">Rapporter l'ancienneté des exceptions dans le pack d'indicateurs du conseil.</t>
  </si>
  <si>
    <t xml:space="preserve">GOV-04</t>
  </si>
  <si>
    <t xml:space="preserve">Indicateurs de sécurité et reporting au conseil</t>
  </si>
  <si>
    <t xml:space="preserve">R-11, R-02</t>
  </si>
  <si>
    <t xml:space="preserve">Le comité d'audit « se réunit régulièrement avec la direction » sur le risque cyber ; escalade au conseil des incidents potentiellement significatifs.</t>
  </si>
  <si>
    <t xml:space="preserve">Le contenu, la cadence et l'efficacité du reporting ne sont pas vérifiables publiquement.</t>
  </si>
  <si>
    <t xml:space="preserve">Établir le pack d'indicateurs (voir les indicateurs de la PSSI) et ajouter des indicateurs de résultat (délai de correction, couverture des accès privilégiés).</t>
  </si>
  <si>
    <t xml:space="preserve">IAM-01</t>
  </si>
  <si>
    <t xml:space="preserve">Accès privilégiés</t>
  </si>
  <si>
    <t xml:space="preserve">Gestion des identités et des accès</t>
  </si>
  <si>
    <t xml:space="preserve">R-01, R-07, R-08, R-03</t>
  </si>
  <si>
    <t xml:space="preserve">La politique publique exige des demandes d'accès approuvées, une revue du moindre privilège, des revues, le retrait des droits au départ/transfert et un processus d'exception.</t>
  </si>
  <si>
    <t xml:space="preserve">E-16, E-17, E-05</t>
  </si>
  <si>
    <t xml:space="preserve">Contrôles spécifiques aux accès privilégiés, fréquence de revue, usage du JIT et indicateurs de couverture non publiés. L'efficacité n'est démontrée que par l'existence de SOC 2.</t>
  </si>
  <si>
    <t xml:space="preserve">Établir un programme d'assurance des accès privilégiés mesurable avec inventaire Tier-0, indicateurs et gestion des exceptions.</t>
  </si>
  <si>
    <t xml:space="preserve">IAM-02</t>
  </si>
  <si>
    <t xml:space="preserve">Authentification des collaborateurs</t>
  </si>
  <si>
    <t xml:space="preserve">R-01, R-08</t>
  </si>
  <si>
    <t xml:space="preserve">GitLab propose MFA/SSO à ses clients et décrit un déploiement du MFA par défaut pour son produit ; les standards d'authentification des collaborateurs ne sont pas publiés. Des données de notation externe signalent des détections d'infostealers (indicateur seulement).</t>
  </si>
  <si>
    <t xml:space="preserve">E-18, E-29</t>
  </si>
  <si>
    <t xml:space="preserve">Le type de MFA interne, la liaison de session et la posture des appareils ne sont pas vérifiables publiquement.</t>
  </si>
  <si>
    <t xml:space="preserve">Imposer des facteurs résistants à l'hameçonnage pour le Tier-0 et les rôles d'ingénierie ; raccourcir et lier les sessions.</t>
  </si>
  <si>
    <t xml:space="preserve">IAM-03</t>
  </si>
  <si>
    <t xml:space="preserve">Cycle de vie des accès, y compris prestataires et personnel PEO</t>
  </si>
  <si>
    <t xml:space="preserve">R-08, R-01</t>
  </si>
  <si>
    <t xml:space="preserve">La politique indique que les accès sont retirés à la cessation d'emploi et ajustés lors d'un transfert ; le 10-K décrit des engagements directs, PEO et prestataires.</t>
  </si>
  <si>
    <t xml:space="preserve">E-16, E-01</t>
  </si>
  <si>
    <t xml:space="preserve">La parité des mesures entre types d'engagement et le niveau d'automatisation ne sont pas vérifiables publiquement.</t>
  </si>
  <si>
    <t xml:space="preserve">Mener une revue de référentiel d'accès des prestataires/PEO et automatiser la recertification.</t>
  </si>
  <si>
    <t xml:space="preserve">IAM-04</t>
  </si>
  <si>
    <t xml:space="preserve">Identités machines, jetons et secrets</t>
  </si>
  <si>
    <t xml:space="preserve">R-01, R-13, R-06</t>
  </si>
  <si>
    <t xml:space="preserve">GitLab documente les bonnes pratiques de jetons et secrets pour ses clients et propose la détection de secrets comme fonction produit ; la gouvernance interne des identités machines n'est pas décrite publiquement.</t>
  </si>
  <si>
    <t xml:space="preserve">E-34, E-26</t>
  </si>
  <si>
    <t xml:space="preserve">Couverture et indicateurs d'hygiène internes non vérifiables publiquement. Les correctifs de septembre 2026 incluent une faille d'application du périmètre des jetons MCP.</t>
  </si>
  <si>
    <t xml:space="preserve">Créer un registre d'entreprise des identités machines avec SLA d'expiration et de rotation.</t>
  </si>
  <si>
    <t xml:space="preserve">SSC-01</t>
  </si>
  <si>
    <t xml:space="preserve">Intégrité du build et des releases</t>
  </si>
  <si>
    <t xml:space="preserve">Développement sécurisé et chaîne d'approvisionnement logicielle</t>
  </si>
  <si>
    <t xml:space="preserve">R-03</t>
  </si>
  <si>
    <t xml:space="preserve">Des releases mensuelles sur 172 mois consécutifs et la transparence open-core sont documentées ; les mesures de provenance, de signature et d'approbation de release n'ont pas été trouvées dans les sources publiques examinées.</t>
  </si>
  <si>
    <t xml:space="preserve">E-01, E-02</t>
  </si>
  <si>
    <t xml:space="preserve">Non vérifiable publiquement. Une compromission de la chaîne d'approvisionnement étant un événement à impact Critique, l'absence d'assurance publique est en soi un constat pour les clients.</t>
  </si>
  <si>
    <t xml:space="preserve">Mettre en œuvre et attester publiquement la provenance des builds et la signature des releases.</t>
  </si>
  <si>
    <t xml:space="preserve">SSC-02</t>
  </si>
  <si>
    <t xml:space="preserve">Gouvernance des contributeurs et des dépendances</t>
  </si>
  <si>
    <t xml:space="preserve">Le 10-K fait état de plus de 5 200 contributeurs et cite l'exposition de la chaîne d'approvisionnement open source comme risque significatif ; les détails des mesures ne sont pas publics.</t>
  </si>
  <si>
    <t xml:space="preserve">Non vérifiable publiquement.</t>
  </si>
  <si>
    <t xml:space="preserve">Publier des standards de sécurité des contributeurs et de gouvernance des dépendances et suivre les indicateurs.</t>
  </si>
  <si>
    <t xml:space="preserve">SSC-03</t>
  </si>
  <si>
    <t xml:space="preserve">Gestion des vulnérabilités, divulgation et publication de correctifs</t>
  </si>
  <si>
    <t xml:space="preserve">Programme HackerOne, security.txt, CVE avec CWE, politique de maintenance publiée, releases de correctifs mensuelles et critiques ; GitLab.com corrigé au moment de la release pour les failles de septembre 2026.</t>
  </si>
  <si>
    <t xml:space="preserve">E-18, E-19, E-22</t>
  </si>
  <si>
    <t xml:space="preserve">Le processus est fortement démontré ; les indicateurs de résultat (respect des SLA) ne sont pas publiés.</t>
  </si>
  <si>
    <t xml:space="preserve">Publier les délais de correction et de diffusion des avis.</t>
  </si>
  <si>
    <t xml:space="preserve">SSC-04</t>
  </si>
  <si>
    <t xml:space="preserve">Développement sécurisé des composants à haut risque</t>
  </si>
  <si>
    <t xml:space="preserve">R-02, R-06, R-09</t>
  </si>
  <si>
    <t xml:space="preserve">Des failles critiques dans les releases récentes incluent une traversée de chemin non authentifiée (CVSS 10, inscrite KEV), une désérialisation atteignable via Duo Chat et des RCE dans les parseurs CI/CD ; CVE-2023-7028 a été inscrite KEV en 2024.</t>
  </si>
  <si>
    <t xml:space="preserve">E-22, E-23, E-26, E-32</t>
  </si>
  <si>
    <t xml:space="preserve">Signal public d'exposition résiduelle dans les composants à haut risque. Cela n'établit pas que les mesures de développement sécurisé sont absentes : de grands produits livrent couramment de tels défauts, et la correction rapide est visible.</t>
  </si>
  <si>
    <t xml:space="preserve">Concentrer l'investissement de développement sécurisé sur l'authentification, l'autorisation, les parseurs et les interpréteurs CI/CD.</t>
  </si>
  <si>
    <t xml:space="preserve">SSC-05</t>
  </si>
  <si>
    <t xml:space="preserve">Accompagnement des mises à niveau et versions supportées</t>
  </si>
  <si>
    <t xml:space="preserve">R-10</t>
  </si>
  <si>
    <t xml:space="preserve">La politique de maintenance est publiée ; des données de 2024 montraient des milliers d'instances non corrigées des semaines après une faille KEV ; les correctifs de 2026 ont été rétroportés vers des branches en fin de vie.</t>
  </si>
  <si>
    <t xml:space="preserve">E-18, E-21, E-25</t>
  </si>
  <si>
    <t xml:space="preserve">La politique existe ; les résultats d'adoption dépendent des clients et ne sont pas publiés.</t>
  </si>
  <si>
    <t xml:space="preserve">Introduire des indicateurs d'adoption et des notifications proactives.</t>
  </si>
  <si>
    <t xml:space="preserve">CLD-01</t>
  </si>
  <si>
    <t xml:space="preserve">Socle de sécurité cloud</t>
  </si>
  <si>
    <t xml:space="preserve">Cloud, plateforme et isolation des tenants</t>
  </si>
  <si>
    <t xml:space="preserve">R-04, R-01</t>
  </si>
  <si>
    <t xml:space="preserve">ISO 27017 et SOC 2 couvrent les services cloud ; GCP et AWS sont les fournisseurs d'hébergement déclarés.</t>
  </si>
  <si>
    <t xml:space="preserve">E-05, E-09</t>
  </si>
  <si>
    <t xml:space="preserve">Les spécificités du socle et les indicateurs de posture ne sont pas publics.</t>
  </si>
  <si>
    <t xml:space="preserve">Publier une synthèse du socle cloud et de la couverture de surveillance.</t>
  </si>
  <si>
    <t xml:space="preserve">CLD-02</t>
  </si>
  <si>
    <t xml:space="preserve">Isolation des tenants et plan de contrôle Dedicated</t>
  </si>
  <si>
    <t xml:space="preserve">R-07</t>
  </si>
  <si>
    <t xml:space="preserve">Dedicated utilise des comptes AWS par tenant dans des VPC isolés, un plan de contrôle Switchboard, la reprise Geo et PrivateLink optionnel ; FedRAMP Moderate pour Government et SOC 2 pour Dedicated.</t>
  </si>
  <si>
    <t xml:space="preserve">E-10, E-11, E-06</t>
  </si>
  <si>
    <t xml:space="preserve">La conception est solide ; le modèle d'accès au plan de contrôle et les résultats de tests ne sont pas détaillés publiquement.</t>
  </si>
  <si>
    <t xml:space="preserve">Commander une évaluation indépendante du plan de contrôle et en publier une synthèse.</t>
  </si>
  <si>
    <t xml:space="preserve">CLD-03</t>
  </si>
  <si>
    <t xml:space="preserve">Isolation des runners et de l'exécution CI/CD</t>
  </si>
  <si>
    <t xml:space="preserve">R-09</t>
  </si>
  <si>
    <t xml:space="preserve">Le 10-K reconnaît le risque accru lié à l'exécution de code client et mentionne des mesures d'atténuation comme les limites de l'offre gratuite.</t>
  </si>
  <si>
    <t xml:space="preserve">Non vérifiable publiquement au niveau des mesures.</t>
  </si>
  <si>
    <t xml:space="preserve">Documenter et tester l'isolation des runners ; publier une synthèse du traitement des abus.</t>
  </si>
  <si>
    <t xml:space="preserve">CLD-04</t>
  </si>
  <si>
    <t xml:space="preserve">Protection des données, résidence et chiffrement</t>
  </si>
  <si>
    <t xml:space="preserve">R-01, R-04</t>
  </si>
  <si>
    <t xml:space="preserve">ISO 27018 couvre les données personnelles dans le cloud ; Dedicated permet le choix de la région et des copies de sauvegarde dans d'autres régions au choix.</t>
  </si>
  <si>
    <t xml:space="preserve">E-05, E-11</t>
  </si>
  <si>
    <t xml:space="preserve">Le modèle de gestion des clés (clés gérées par le client, HSM) n'est pas vérifié dans les sources examinées.</t>
  </si>
  <si>
    <t xml:space="preserve">Clarifier les options de gestion des clés et les contrôles d'accès.</t>
  </si>
  <si>
    <t xml:space="preserve">AI-01</t>
  </si>
  <si>
    <t xml:space="preserve">Gouvernance de l'IA et modélisation des menaces</t>
  </si>
  <si>
    <t xml:space="preserve">Sécurité de l'IA et des agents</t>
  </si>
  <si>
    <t xml:space="preserve">R-06</t>
  </si>
  <si>
    <t xml:space="preserve">La certification ISO/IEC 42001 et un AI Transparency Center sont listés ; un fournisseur de protection contre l'injection de prompt est un sous-traitant déclaré.</t>
  </si>
  <si>
    <t xml:space="preserve">E-05, E-09, E-27</t>
  </si>
  <si>
    <t xml:space="preserve">La gouvernance est démontrée de façon indépendante ; l'efficacité face aux nouvelles classes d'attaques ne l'est pas.</t>
  </si>
  <si>
    <t xml:space="preserve">Maintenir ISO 42001 et étendre le périmètre à mesure que les capacités des agents évoluent.</t>
  </si>
  <si>
    <t xml:space="preserve">AI-02</t>
  </si>
  <si>
    <t xml:space="preserve">Privilèges des agents, périmètre des jetons et traitement des sorties</t>
  </si>
  <si>
    <t xml:space="preserve">Des chercheurs ont démontré l'exfiltration de code privé via Duo (2025) ; les correctifs de septembre 2026 corrigent une faille CVSS 9,9 atteignable via l'accès à Duo Chat et une faiblesse d'application du périmètre MCP.</t>
  </si>
  <si>
    <t xml:space="preserve">E-26, E-27, E-23</t>
  </si>
  <si>
    <t xml:space="preserve">Signal public d'exposition sur une surface d'attaque en expansion ; aucune inférence sur l'exhaustivité des mesures.</t>
  </si>
  <si>
    <t xml:space="preserve">Mener un red teaming continu des agents et des garde-fous policy-as-code.</t>
  </si>
  <si>
    <t xml:space="preserve">AI-03</t>
  </si>
  <si>
    <t xml:space="preserve">Dépendance aux fournisseurs d'IA et de modèles</t>
  </si>
  <si>
    <t xml:space="preserve">R-04, R-06</t>
  </si>
  <si>
    <t xml:space="preserve">La liste des sous-traitants nomme plusieurs fournisseurs de modèles/cloud ; le 10-K indique qu'une perturbation ou un changement de conditions des fournisseurs pourrait affecter les fonctions d'IA et met en avant la neutralité vis-à-vis des LLM et les passerelles auto-hébergées comme éléments différenciants.</t>
  </si>
  <si>
    <t xml:space="preserve">E-02, E-09, E-01</t>
  </si>
  <si>
    <t xml:space="preserve">Les tests de secours et les conditions de traitement des données ne sont pas publics.</t>
  </si>
  <si>
    <t xml:space="preserve">Tester et documenter la bascule entre modèles.</t>
  </si>
  <si>
    <t xml:space="preserve">RES-01</t>
  </si>
  <si>
    <t xml:space="preserve">Continuité d'activité et reprise après sinistre</t>
  </si>
  <si>
    <t xml:space="preserve">Résilience et réponse aux incidents</t>
  </si>
  <si>
    <t xml:space="preserve">R-05</t>
  </si>
  <si>
    <t xml:space="preserve">Des Game Days trimestriels, des sauvegardes multi-régions et des objectifs (p. ex. RTO 2 h / RPO 1 h pour la cellule primaire) sont documentés ; les documents de conception indiquent que la reprise régionale n'était pas encore validée de bout en bout et que GitLab.com s'exécute depuis une seule région.</t>
  </si>
  <si>
    <t xml:space="preserve">E-12, E-13, E-14, E-15</t>
  </si>
  <si>
    <t xml:space="preserve">La documentation est ouverte et franche ; l'état actuel de validation est incertain et a pu progresser.</t>
  </si>
  <si>
    <t xml:space="preserve">Mener et attester un exercice de bascule régionale de bout en bout.</t>
  </si>
  <si>
    <t xml:space="preserve">RES-02</t>
  </si>
  <si>
    <t xml:space="preserve">Intégrité des sauvegardes et assurance de restauration</t>
  </si>
  <si>
    <t xml:space="preserve">Des tests de restauration quotidiens automatisés des bases applicatives dans des pipelines CI et un stockage de sauvegarde multi-régions sont documentés ; un document de conception pose l'exigence que l'identité de reprise ne puisse pas supprimer les sauvegardes.</t>
  </si>
  <si>
    <t xml:space="preserve">Solides preuves de tests de restauration ; l'immutabilité et la séparation pour tous les jeux de données ne sont pas confirmées.</t>
  </si>
  <si>
    <t xml:space="preserve">Confirmer et étendre les sauvegardes immuables inter-comptes à tous les jeux de données critiques.</t>
  </si>
  <si>
    <t xml:space="preserve">RES-03</t>
  </si>
  <si>
    <t xml:space="preserve">Réponse aux incidents et communication client</t>
  </si>
  <si>
    <t xml:space="preserve">R-02, R-05, R-10</t>
  </si>
  <si>
    <t xml:space="preserve">Le 10-K décrit l'escalade des incidents potentiellement significatifs à la direction et au conseil et reconnaît les obligations de notification.</t>
  </si>
  <si>
    <t xml:space="preserve">E-03, E-02</t>
  </si>
  <si>
    <t xml:space="preserve">Playbooks, cadence d'exercices et indicateurs de délai non publics.</t>
  </si>
  <si>
    <t xml:space="preserve">Répéter un zero-day de classe KEV sur tous les modèles de déploiement.</t>
  </si>
  <si>
    <t xml:space="preserve">MON-01</t>
  </si>
  <si>
    <t xml:space="preserve">Journalisation, surveillance et couverture de détection</t>
  </si>
  <si>
    <t xml:space="preserve">Détection et renseignement sur la menace</t>
  </si>
  <si>
    <t xml:space="preserve">R-01, R-02, R-03</t>
  </si>
  <si>
    <t xml:space="preserve">Une politique de journalisation d'audit est listée sur le Trust Center ; le 10-K mentionne l'analyse comportementale, la détection et la réponse automatisées et une orientation zero-trust.</t>
  </si>
  <si>
    <t xml:space="preserve">E-05, E-02</t>
  </si>
  <si>
    <t xml:space="preserve">Couverture et qualité de détection non vérifiables publiquement.</t>
  </si>
  <si>
    <t xml:space="preserve">Aligner les détections sur les scénarios de cette étude et les tester.</t>
  </si>
  <si>
    <t xml:space="preserve">MON-02</t>
  </si>
  <si>
    <t xml:space="preserve">Renseignement sur la menace et chasse proactive</t>
  </si>
  <si>
    <t xml:space="preserve">R-01, R-02</t>
  </si>
  <si>
    <t xml:space="preserve">Aucune description publique du programme de renseignement sur la menace n'a été trouvée dans les sources examinées.</t>
  </si>
  <si>
    <t xml:space="preserve">E-29, E-32</t>
  </si>
  <si>
    <t xml:space="preserve">Établir une surveillance de l'exposition aux infostealers avec invalidation automatique des identifiants et sessions.</t>
  </si>
  <si>
    <t xml:space="preserve">TPM-01</t>
  </si>
  <si>
    <t xml:space="preserve">Assurance des tiers et sous-traitants</t>
  </si>
  <si>
    <t xml:space="preserve">Risque lié aux tiers et à la concentration</t>
  </si>
  <si>
    <t xml:space="preserve">R-04, R-08</t>
  </si>
  <si>
    <t xml:space="preserve">Liste publique de sous-traitants avec lieux, services et notifications de changement ; le 10-K reconnaît les attentes de diligence raisonnable.</t>
  </si>
  <si>
    <t xml:space="preserve">E-09, E-02</t>
  </si>
  <si>
    <t xml:space="preserve">Profondeur d'évaluation et surveillance non publiques.</t>
  </si>
  <si>
    <t xml:space="preserve">Classer les sous-traitants par niveau et suivre les constats jusqu'à leur clôture.</t>
  </si>
  <si>
    <t xml:space="preserve">TPM-02</t>
  </si>
  <si>
    <t xml:space="preserve">Concentration sur le cloud et les fournisseurs critiques</t>
  </si>
  <si>
    <t xml:space="preserve">R-04, R-05</t>
  </si>
  <si>
    <t xml:space="preserve">GitLab.com sur GCP et Dedicated sur AWS indiquent une diversité de fournisseurs entre produits ; l'exploitation mono-région de GitLab.com est décrite dans les documents de conception.</t>
  </si>
  <si>
    <t xml:space="preserve">E-12, E-10, E-01</t>
  </si>
  <si>
    <t xml:space="preserve">Les analyses de concentration et plans de sortie ne sont pas publics.</t>
  </si>
  <si>
    <t xml:space="preserve">Mener un atelier de concentration et de planification de sortie.</t>
  </si>
  <si>
    <t xml:space="preserve">PPL-01</t>
  </si>
  <si>
    <t xml:space="preserve">Vérification des collaborateurs et sensibilisation à la sécurité</t>
  </si>
  <si>
    <t xml:space="preserve">Personnes et risque interne</t>
  </si>
  <si>
    <t xml:space="preserve">Le modèle de télétravail et l'engagement PEO/prestataires sont déclarés ; les détails de vérification et de sensibilisation n'ont pas été trouvés.</t>
  </si>
  <si>
    <t xml:space="preserve">Aligner vérification et formation des prestataires et du personnel PEO sur celles des salariés.</t>
  </si>
  <si>
    <t xml:space="preserve">PPL-02</t>
  </si>
  <si>
    <t xml:space="preserve">Gestion du risque interne</t>
  </si>
  <si>
    <t xml:space="preserve">R-08</t>
  </si>
  <si>
    <t xml:space="preserve">La politique d'accès mentionne approbations et revues ; aucune description d'un programme de risque interne n'a été trouvée.</t>
  </si>
  <si>
    <t xml:space="preserve">Lancer un programme léger de risque interne conforme à la vie privée pour les rôles Tier-0.</t>
  </si>
  <si>
    <t xml:space="preserve">TRN-01</t>
  </si>
  <si>
    <t xml:space="preserve">Transparence responsable</t>
  </si>
  <si>
    <t xml:space="preserve">R-13</t>
  </si>
  <si>
    <t xml:space="preserve">Le 10-K indique que GitLab promeut une transparence « responsable » et sensibilise son personnel ; le handbook comporte une section interne pour les contenus sensibles.</t>
  </si>
  <si>
    <t xml:space="preserve">Les garde-fous techniques ne sont pas documentés publiquement.</t>
  </si>
  <si>
    <t xml:space="preserve">Ajouter un scan automatisé avant publication et des indicateurs d'incident.</t>
  </si>
  <si>
    <t xml:space="preserve">CMP-01</t>
  </si>
  <si>
    <t xml:space="preserve">Portefeuille de certifications et transitions de normes</t>
  </si>
  <si>
    <t xml:space="preserve">Conformité et assurance client</t>
  </si>
  <si>
    <t xml:space="preserve">R-12</t>
  </si>
  <si>
    <t xml:space="preserve">SOC 2 Type 2 (Sécurité, Confidentialité, Disponibilité), SOC 3 pour GitLab.com, ISO 27001/27017/27018, ISO 42001, FedRAMP Moderate pour Dedicated for Government ; FedRAMP High en perspective.</t>
  </si>
  <si>
    <t xml:space="preserve">E-05, E-06, E-07, E-08, E-30</t>
  </si>
  <si>
    <t xml:space="preserve">Portefeuille solide. D'anciennes pages publiques citent encore ISO 27001:2013 ; les certificats ISO 27001:2013 ont expiré après l'échéance de transition du 31 oct. 2025, les pages publiques devraient donc être rapprochées du certificat en vigueur.</t>
  </si>
  <si>
    <t xml:space="preserve">Rapprocher l'édition ISO et le périmètre publiés ; publier une cartographie des certifications.</t>
  </si>
  <si>
    <t xml:space="preserve">CMP-02</t>
  </si>
  <si>
    <t xml:space="preserve">Transparence de l'assurance client</t>
  </si>
  <si>
    <t xml:space="preserve">R-12, R-10</t>
  </si>
  <si>
    <t xml:space="preserve">Le Trust Center propose rapports SOC, lettre de continuité, certificat ISO en plusieurs langues, synthèse de test d'intrusion, politiques, FAQ et centre de transparence de l'IA.</t>
  </si>
  <si>
    <t xml:space="preserve">Solide ; pourrait ajouter des indicateurs de résultat (délai de correction, résultats des tests de reprise).</t>
  </si>
  <si>
    <t xml:space="preserve">Ajouter au Trust Center des attestations de réponse aux vulnérabilités et de tests de reprise.</t>
  </si>
  <si>
    <t xml:space="preserve">Table de correspondance des évaluations</t>
  </si>
  <si>
    <t xml:space="preserve">Niveau</t>
  </si>
  <si>
    <t xml:space="preserve">Libellé</t>
  </si>
  <si>
    <t xml:space="preserve">Signification</t>
  </si>
  <si>
    <t xml:space="preserve">Signal public d'exposition</t>
  </si>
  <si>
    <t xml:space="preserve">Des événements ou travaux de recherche publics indiquent une exposition résiduelle dans ce domaine. Cela ne prouve PAS que la mesure est absente ou inefficace.</t>
  </si>
  <si>
    <t xml:space="preserve">Non vérifiable publiquement</t>
  </si>
  <si>
    <t xml:space="preserve">Aucune preuve publique pertinente dans les sources examinées. Cela ne signifie PAS que la mesure est absente.</t>
  </si>
  <si>
    <t xml:space="preserve">Partiellement démontré</t>
  </si>
  <si>
    <t xml:space="preserve">Une politique, une déclaration ou une conception est publique, mais l'efficacité opérationnelle ne peut pas être vérifiée de l'extérieur.</t>
  </si>
  <si>
    <t xml:space="preserve">Fortement démontré</t>
  </si>
  <si>
    <t xml:space="preserve">Une assurance indépendante ou une documentation primaire détaillée est publiquement disponible.</t>
  </si>
  <si>
    <t xml:space="preserve">Synthèse</t>
  </si>
  <si>
    <t xml:space="preserve">Échelles de fiabilité et de niveau de preuve</t>
  </si>
  <si>
    <t xml:space="preserve">Définition</t>
  </si>
  <si>
    <t xml:space="preserve">Primaire et faisant autorité : dépôt SEC, page officielle trust/handbook/docs, catalogue gouvernemental.</t>
  </si>
  <si>
    <t xml:space="preserve">Secondaire réputée : presse de sécurité établie, bulletins CERT/CSIRT, recherches d'éditeurs de sécurité.</t>
  </si>
  <si>
    <t xml:space="preserve">Indicative uniquement : agrégateurs, offres d'emploi, services de notation. Sert à corroborer, jamais seule.</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</si>
</sst>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9"/>
      <color rgb="FF000000"/>
      <name val="Arial"/>
      <family val="0"/>
      <charset val="1"/>
    </font>
    <font>
      <b val="true"/>
      <sz val="10"/>
      <color rgb="FF000000"/>
      <name val="Arial"/>
      <family val="0"/>
      <charset val="1"/>
    </font>
    <font>
      <sz val="9"/>
      <name val="Arial"/>
      <family val="0"/>
      <charset val="1"/>
    </font>
    <font>
      <u val="single"/>
      <sz val="9"/>
      <color rgb="FF000000"/>
      <name val="Arial"/>
      <family val="0"/>
      <charset val="1"/>
    </font>
    <font>
      <b val="true"/>
      <sz val="10"/>
      <name val="Arial"/>
      <family val="0"/>
      <charset val="1"/>
    </font>
    <font>
      <b val="true"/>
      <sz val="9"/>
      <color rgb="FF000000"/>
      <name val="Arial"/>
      <family val="0"/>
      <charset val="1"/>
    </font>
    <font>
      <b val="true"/>
      <sz val="9"/>
      <name val="Arial"/>
      <family val="0"/>
      <charset val="1"/>
    </font>
    <font>
      <b val="true"/>
      <sz val="11"/>
      <name val="Arial"/>
      <family val="0"/>
      <charset val="1"/>
    </font>
  </fonts>
  <fills count="4">
    <fill>
      <patternFill patternType="none"/>
    </fill>
    <fill>
      <patternFill patternType="gray125"/>
    </fill>
    <fill>
      <patternFill patternType="solid">
        <fgColor rgb="FFD9D9D9"/>
        <bgColor rgb="FFE0E0E0"/>
      </patternFill>
    </fill>
    <fill>
      <patternFill patternType="solid">
        <fgColor rgb="FFF2F2F2"/>
        <bgColor rgb="FFEEEEEE"/>
      </patternFill>
    </fill>
  </fills>
  <borders count="2">
    <border diagonalUp="false" diagonalDown="false">
      <left/>
      <right/>
      <top/>
      <bottom/>
      <diagonal/>
    </border>
    <border diagonalUp="false" diagonalDown="false">
      <left style="thin">
        <color rgb="FFC9D1DC"/>
      </left>
      <right style="thin">
        <color rgb="FFC9D1DC"/>
      </right>
      <top style="thin">
        <color rgb="FFC9D1DC"/>
      </top>
      <bottom style="thin">
        <color rgb="FFC9D1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patternType="solid">
          <fgColor rgb="FFD0D0D0"/>
          <bgColor rgb="FF000000"/>
        </patternFill>
      </fill>
    </dxf>
    <dxf>
      <fill>
        <patternFill patternType="solid">
          <fgColor rgb="FFEEEEEE"/>
          <bgColor rgb="FF000000"/>
        </patternFill>
      </fill>
    </dxf>
    <dxf>
      <fill>
        <patternFill patternType="solid">
          <fgColor rgb="FFFFFFFF"/>
          <bgColor rgb="FF000000"/>
        </patternFill>
      </fill>
    </dxf>
    <dxf>
      <fill>
        <patternFill>
          <bgColor rgb="FFFFFFFF"/>
        </patternFill>
      </fill>
    </dxf>
    <dxf>
      <fill>
        <patternFill>
          <bgColor rgb="FFEEEEEE"/>
        </patternFill>
      </fill>
    </dxf>
    <dxf>
      <fill>
        <patternFill>
          <bgColor rgb="FFD0D0D0"/>
        </patternFill>
      </fill>
    </dxf>
    <dxf>
      <fill>
        <patternFill patternType="solid">
          <fgColor rgb="FFBFBFBF"/>
          <bgColor rgb="FF000000"/>
        </patternFill>
      </fill>
    </dxf>
    <dxf>
      <fill>
        <patternFill patternType="solid">
          <fgColor rgb="FFE0E0E0"/>
          <bgColor rgb="FF000000"/>
        </patternFill>
      </fill>
    </dxf>
    <dxf>
      <fill>
        <patternFill patternType="solid">
          <fgColor rgb="FFF2F2F2"/>
          <bgColor rgb="FF000000"/>
        </patternFill>
      </fill>
    </dxf>
    <dxf>
      <fill>
        <patternFill>
          <bgColor rgb="FFF2F2F2"/>
        </patternFill>
      </fill>
    </dxf>
    <dxf>
      <fill>
        <patternFill>
          <bgColor rgb="FFE0E0E0"/>
        </patternFill>
      </fill>
    </dxf>
    <dxf>
      <fill>
        <patternFill>
          <bgColor rgb="FFBFBFB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EEEEE"/>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CCFFFF"/>
      <rgbColor rgb="FFE0E0E0"/>
      <rgbColor rgb="FFFFFF99"/>
      <rgbColor rgb="FFD0D0D0"/>
      <rgbColor rgb="FFFF99CC"/>
      <rgbColor rgb="FFCC99FF"/>
      <rgbColor rgb="FFD9D9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ec.gov/Archives/edgar/data/1653482/000162828026018731/gtlb-20260131.htm" TargetMode="External"/><Relationship Id="rId2" Type="http://schemas.openxmlformats.org/officeDocument/2006/relationships/hyperlink" Target="https://www.sec.gov/Archives/edgar/data/1653482/000162828026018731/gtlb-20260131.htm" TargetMode="External"/><Relationship Id="rId3" Type="http://schemas.openxmlformats.org/officeDocument/2006/relationships/hyperlink" Target="https://www.sec.gov/Archives/edgar/data/1653482/000162828026018731/gtlb-20260131.htm" TargetMode="External"/><Relationship Id="rId4" Type="http://schemas.openxmlformats.org/officeDocument/2006/relationships/hyperlink" Target="https://www.sec.gov/Archives/edgar/data/1653482/000162828025014344/gtlb-20250131.htm" TargetMode="External"/><Relationship Id="rId5" Type="http://schemas.openxmlformats.org/officeDocument/2006/relationships/hyperlink" Target="https://trust.gitlab.com/" TargetMode="External"/><Relationship Id="rId6" Type="http://schemas.openxmlformats.org/officeDocument/2006/relationships/hyperlink" Target="https://handbook.gitlab.com/handbook/security/security-assurance/security-compliance/certifications/" TargetMode="External"/><Relationship Id="rId7" Type="http://schemas.openxmlformats.org/officeDocument/2006/relationships/hyperlink" Target="https://handbook.gitlab.com/handbook/security/security-assurance/dedicated-compliance/certifications/" TargetMode="External"/><Relationship Id="rId8" Type="http://schemas.openxmlformats.org/officeDocument/2006/relationships/hyperlink" Target="https://about.gitlab.com/press/releases/2023-01-26-gitlab-expands-security-certification-report-portfolio" TargetMode="External"/><Relationship Id="rId9" Type="http://schemas.openxmlformats.org/officeDocument/2006/relationships/hyperlink" Target="https://about.gitlab.com/privacy/subprocessors" TargetMode="External"/><Relationship Id="rId10" Type="http://schemas.openxmlformats.org/officeDocument/2006/relationships/hyperlink" Target="https://docs.gitlab.com/administration/dedicated/architecture" TargetMode="External"/><Relationship Id="rId11" Type="http://schemas.openxmlformats.org/officeDocument/2006/relationships/hyperlink" Target="https://archives.docs.gitlab.com/16.7/ee/subscriptions/gitlab_dedicated" TargetMode="External"/><Relationship Id="rId12" Type="http://schemas.openxmlformats.org/officeDocument/2006/relationships/hyperlink" Target="https://handbook.gitlab.com/handbook/engineering/gitlab-com/policies/disaster-recovery/" TargetMode="External"/><Relationship Id="rId13" Type="http://schemas.openxmlformats.org/officeDocument/2006/relationships/hyperlink" Target="https://docs.gitlab.com/ee/architecture/blueprints/disaster_recovery/" TargetMode="External"/><Relationship Id="rId14" Type="http://schemas.openxmlformats.org/officeDocument/2006/relationships/hyperlink" Target="https://archives.docs.gitlab.com/17.0/ee/architecture/blueprints/cells/infrastructure/disaster_recovery.html" TargetMode="External"/><Relationship Id="rId15" Type="http://schemas.openxmlformats.org/officeDocument/2006/relationships/hyperlink" Target="https://handbook.gitlab.com/handbook/engineering/infrastructure/team/gitlab-dedicated/slas" TargetMode="External"/><Relationship Id="rId16" Type="http://schemas.openxmlformats.org/officeDocument/2006/relationships/hyperlink" Target="https://handbook.gitlab.com/handbook/security/security-and-technology-policies/access-management-policy/" TargetMode="External"/><Relationship Id="rId17" Type="http://schemas.openxmlformats.org/officeDocument/2006/relationships/hyperlink" Target="https://handbook.gitlab.com/handbook/security/access-management-policy" TargetMode="External"/><Relationship Id="rId18" Type="http://schemas.openxmlformats.org/officeDocument/2006/relationships/hyperlink" Target="https://about.gitlab.com/blog/last-year-we-signed-the-secure-by-design-pledge-heres-our-progress/" TargetMode="External"/><Relationship Id="rId19" Type="http://schemas.openxmlformats.org/officeDocument/2006/relationships/hyperlink" Target="https://about.gitlab.com/security/disclosure/" TargetMode="External"/><Relationship Id="rId20" Type="http://schemas.openxmlformats.org/officeDocument/2006/relationships/hyperlink" Target="https://thehackernews.com/2024/05/cisa-warns-of-active-exploitation-of.html" TargetMode="External"/><Relationship Id="rId21" Type="http://schemas.openxmlformats.org/officeDocument/2006/relationships/hyperlink" Target="https://scmagazine.com/news/critical-gitlab-account-takeover-flaw-added-to-cisas-kev-catalog" TargetMode="External"/><Relationship Id="rId22" Type="http://schemas.openxmlformats.org/officeDocument/2006/relationships/hyperlink" Target="https://docs.gitlab.com/releases/patches/patch-release-gitlab-19-3-2-released/" TargetMode="External"/><Relationship Id="rId23" Type="http://schemas.openxmlformats.org/officeDocument/2006/relationships/hyperlink" Target="https://cyberscoop.com/gitlab-critical-flaws-path-traversal-scans/" TargetMode="External"/><Relationship Id="rId24" Type="http://schemas.openxmlformats.org/officeDocument/2006/relationships/hyperlink" Target="https://www.hivepro.com/threat-advisory/gitlab-path-traversal-cve-2026-85706-exploited-to-steal-secrets" TargetMode="External"/><Relationship Id="rId25" Type="http://schemas.openxmlformats.org/officeDocument/2006/relationships/hyperlink" Target="https://www.infoq.com/news/2026/10/gitlab-critical-vulnerabilities/" TargetMode="External"/><Relationship Id="rId26" Type="http://schemas.openxmlformats.org/officeDocument/2006/relationships/hyperlink" Target="https://daily.dev/posts/gitlab-critical-patch-release-19-4-1-19-3-3-19-2-7-rdpef3qur" TargetMode="External"/><Relationship Id="rId27" Type="http://schemas.openxmlformats.org/officeDocument/2006/relationships/hyperlink" Target="https://thehackernews.com/2025/05/gitlab-duo-vulnerability-enabled.html" TargetMode="External"/><Relationship Id="rId28" Type="http://schemas.openxmlformats.org/officeDocument/2006/relationships/hyperlink" Target="https://www.hkcert.org/tc/security-bulletin/gitlab-multiple-vulnerabilities_20260914" TargetMode="External"/><Relationship Id="rId29" Type="http://schemas.openxmlformats.org/officeDocument/2006/relationships/hyperlink" Target="https://www.upguard.com/security-report/gitlab" TargetMode="External"/><Relationship Id="rId30" Type="http://schemas.openxmlformats.org/officeDocument/2006/relationships/hyperlink" Target="https://www.builtinboston.com/job/senior-manager-security-compliance/10014280" TargetMode="External"/><Relationship Id="rId31" Type="http://schemas.openxmlformats.org/officeDocument/2006/relationships/hyperlink" Target="https://www.board-cybersecurity.com/governance/tracker/gitlab" TargetMode="External"/><Relationship Id="rId32" Type="http://schemas.openxmlformats.org/officeDocument/2006/relationships/hyperlink" Target="https://db.gcve.eu/cve/CVE-2023-7028" TargetMode="External"/><Relationship Id="rId33" Type="http://schemas.openxmlformats.org/officeDocument/2006/relationships/hyperlink" Target="https://securityonline.info/gitlab-critical-patch-release-rce/" TargetMode="External"/><Relationship Id="rId34" Type="http://schemas.openxmlformats.org/officeDocument/2006/relationships/hyperlink" Target="https://docs.gitlab.com/ee/auth/auth_practices.html" TargetMode="External"/><Relationship Id="rId35" Type="http://schemas.openxmlformats.org/officeDocument/2006/relationships/hyperlink" Target="https://about.gitlab.com/blog/top-5-compliance-features-to-leverage-in-gitlab/" TargetMode="External"/><Relationship Id="rId36" Type="http://schemas.openxmlformats.org/officeDocument/2006/relationships/hyperlink" Target="https://about.gitlab.com/blog/soc2-compliance/" TargetMode="External"/><Relationship Id="rId37"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3" min="3" style="0" width="52"/>
    <col collapsed="false" customWidth="true" hidden="false" outlineLevel="0" max="4" min="4" style="0" width="18"/>
    <col collapsed="false" customWidth="true" hidden="false" outlineLevel="0" max="5" min="5" style="0" width="22"/>
    <col collapsed="false" customWidth="true" hidden="false" outlineLevel="0" max="6" min="6" style="0" width="16"/>
    <col collapsed="false" customWidth="true" hidden="false" outlineLevel="0" max="7" min="7" style="0" width="13"/>
    <col collapsed="false" customWidth="true" hidden="false" outlineLevel="0" max="8" min="8" style="0" width="10"/>
    <col collapsed="false" customWidth="true" hidden="false" outlineLevel="0" max="9" min="9" style="0" width="90"/>
    <col collapsed="false" customWidth="true" hidden="false" outlineLevel="0" max="10" min="10" style="0" width="36"/>
    <col collapsed="false" customWidth="true" hidden="false" outlineLevel="0" max="11" min="11" style="0" width="44"/>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78" hidden="false" customHeight="true" outlineLevel="0" collapsed="false">
      <c r="A5" s="4" t="s">
        <v>13</v>
      </c>
      <c r="B5" s="5" t="s">
        <v>14</v>
      </c>
      <c r="C5" s="6" t="s">
        <v>15</v>
      </c>
      <c r="D5" s="5" t="s">
        <v>16</v>
      </c>
      <c r="E5" s="5" t="s">
        <v>17</v>
      </c>
      <c r="F5" s="4" t="s">
        <v>18</v>
      </c>
      <c r="G5" s="4" t="s">
        <v>19</v>
      </c>
      <c r="H5" s="4" t="s">
        <v>20</v>
      </c>
      <c r="I5" s="5" t="s">
        <v>21</v>
      </c>
      <c r="J5" s="5" t="s">
        <v>22</v>
      </c>
      <c r="K5" s="5" t="s">
        <v>23</v>
      </c>
    </row>
    <row r="6" customFormat="false" ht="78" hidden="false" customHeight="true" outlineLevel="0" collapsed="false">
      <c r="A6" s="4" t="s">
        <v>24</v>
      </c>
      <c r="B6" s="5" t="s">
        <v>25</v>
      </c>
      <c r="C6" s="6" t="s">
        <v>15</v>
      </c>
      <c r="D6" s="5" t="s">
        <v>16</v>
      </c>
      <c r="E6" s="5" t="s">
        <v>17</v>
      </c>
      <c r="F6" s="4" t="s">
        <v>18</v>
      </c>
      <c r="G6" s="4" t="s">
        <v>19</v>
      </c>
      <c r="H6" s="4" t="s">
        <v>20</v>
      </c>
      <c r="I6" s="5" t="s">
        <v>26</v>
      </c>
      <c r="J6" s="5" t="s">
        <v>27</v>
      </c>
      <c r="K6" s="5" t="s">
        <v>28</v>
      </c>
    </row>
    <row r="7" customFormat="false" ht="78" hidden="false" customHeight="true" outlineLevel="0" collapsed="false">
      <c r="A7" s="4" t="s">
        <v>29</v>
      </c>
      <c r="B7" s="5" t="s">
        <v>30</v>
      </c>
      <c r="C7" s="6" t="s">
        <v>15</v>
      </c>
      <c r="D7" s="5" t="s">
        <v>16</v>
      </c>
      <c r="E7" s="5" t="s">
        <v>17</v>
      </c>
      <c r="F7" s="4" t="s">
        <v>18</v>
      </c>
      <c r="G7" s="4" t="s">
        <v>19</v>
      </c>
      <c r="H7" s="4" t="s">
        <v>20</v>
      </c>
      <c r="I7" s="5" t="s">
        <v>31</v>
      </c>
      <c r="J7" s="5" t="s">
        <v>32</v>
      </c>
      <c r="K7" s="5" t="s">
        <v>33</v>
      </c>
    </row>
    <row r="8" customFormat="false" ht="78" hidden="false" customHeight="true" outlineLevel="0" collapsed="false">
      <c r="A8" s="4" t="s">
        <v>34</v>
      </c>
      <c r="B8" s="5" t="s">
        <v>35</v>
      </c>
      <c r="C8" s="6" t="s">
        <v>36</v>
      </c>
      <c r="D8" s="5" t="s">
        <v>16</v>
      </c>
      <c r="E8" s="5" t="s">
        <v>17</v>
      </c>
      <c r="F8" s="4" t="s">
        <v>37</v>
      </c>
      <c r="G8" s="4" t="s">
        <v>19</v>
      </c>
      <c r="H8" s="4" t="s">
        <v>20</v>
      </c>
      <c r="I8" s="5" t="s">
        <v>38</v>
      </c>
      <c r="J8" s="5" t="s">
        <v>39</v>
      </c>
      <c r="K8" s="5" t="s">
        <v>40</v>
      </c>
    </row>
    <row r="9" customFormat="false" ht="78" hidden="false" customHeight="true" outlineLevel="0" collapsed="false">
      <c r="A9" s="4" t="s">
        <v>41</v>
      </c>
      <c r="B9" s="5" t="s">
        <v>42</v>
      </c>
      <c r="C9" s="6" t="s">
        <v>43</v>
      </c>
      <c r="D9" s="5" t="s">
        <v>44</v>
      </c>
      <c r="E9" s="5" t="s">
        <v>45</v>
      </c>
      <c r="F9" s="4" t="s">
        <v>46</v>
      </c>
      <c r="G9" s="4" t="s">
        <v>19</v>
      </c>
      <c r="H9" s="4" t="s">
        <v>20</v>
      </c>
      <c r="I9" s="5" t="s">
        <v>47</v>
      </c>
      <c r="J9" s="5" t="s">
        <v>48</v>
      </c>
      <c r="K9" s="5" t="s">
        <v>49</v>
      </c>
    </row>
    <row r="10" customFormat="false" ht="78" hidden="false" customHeight="true" outlineLevel="0" collapsed="false">
      <c r="A10" s="4" t="s">
        <v>50</v>
      </c>
      <c r="B10" s="5" t="s">
        <v>51</v>
      </c>
      <c r="C10" s="6" t="s">
        <v>52</v>
      </c>
      <c r="D10" s="5" t="s">
        <v>53</v>
      </c>
      <c r="E10" s="5" t="s">
        <v>45</v>
      </c>
      <c r="F10" s="4" t="s">
        <v>46</v>
      </c>
      <c r="G10" s="4" t="s">
        <v>19</v>
      </c>
      <c r="H10" s="4" t="s">
        <v>20</v>
      </c>
      <c r="I10" s="5" t="s">
        <v>54</v>
      </c>
      <c r="J10" s="5" t="s">
        <v>55</v>
      </c>
      <c r="K10" s="5" t="s">
        <v>56</v>
      </c>
    </row>
    <row r="11" customFormat="false" ht="78" hidden="false" customHeight="true" outlineLevel="0" collapsed="false">
      <c r="A11" s="4" t="s">
        <v>57</v>
      </c>
      <c r="B11" s="5" t="s">
        <v>58</v>
      </c>
      <c r="C11" s="6" t="s">
        <v>59</v>
      </c>
      <c r="D11" s="5" t="s">
        <v>53</v>
      </c>
      <c r="E11" s="5" t="s">
        <v>45</v>
      </c>
      <c r="F11" s="4" t="s">
        <v>46</v>
      </c>
      <c r="G11" s="4" t="s">
        <v>19</v>
      </c>
      <c r="H11" s="4" t="s">
        <v>60</v>
      </c>
      <c r="I11" s="5" t="s">
        <v>61</v>
      </c>
      <c r="J11" s="5" t="s">
        <v>62</v>
      </c>
      <c r="K11" s="5" t="s">
        <v>63</v>
      </c>
    </row>
    <row r="12" customFormat="false" ht="78" hidden="false" customHeight="true" outlineLevel="0" collapsed="false">
      <c r="A12" s="4" t="s">
        <v>64</v>
      </c>
      <c r="B12" s="5" t="s">
        <v>65</v>
      </c>
      <c r="C12" s="6" t="s">
        <v>66</v>
      </c>
      <c r="D12" s="5" t="s">
        <v>67</v>
      </c>
      <c r="E12" s="5" t="s">
        <v>45</v>
      </c>
      <c r="F12" s="4" t="s">
        <v>68</v>
      </c>
      <c r="G12" s="4" t="s">
        <v>19</v>
      </c>
      <c r="H12" s="4" t="s">
        <v>20</v>
      </c>
      <c r="I12" s="5" t="s">
        <v>69</v>
      </c>
      <c r="J12" s="5" t="s">
        <v>62</v>
      </c>
      <c r="K12" s="5" t="s">
        <v>70</v>
      </c>
    </row>
    <row r="13" customFormat="false" ht="78" hidden="false" customHeight="true" outlineLevel="0" collapsed="false">
      <c r="A13" s="4" t="s">
        <v>71</v>
      </c>
      <c r="B13" s="5" t="s">
        <v>72</v>
      </c>
      <c r="C13" s="6" t="s">
        <v>73</v>
      </c>
      <c r="D13" s="5" t="s">
        <v>74</v>
      </c>
      <c r="E13" s="5" t="s">
        <v>45</v>
      </c>
      <c r="F13" s="4" t="s">
        <v>46</v>
      </c>
      <c r="G13" s="4" t="s">
        <v>19</v>
      </c>
      <c r="H13" s="4" t="s">
        <v>20</v>
      </c>
      <c r="I13" s="5" t="s">
        <v>75</v>
      </c>
      <c r="J13" s="5" t="s">
        <v>76</v>
      </c>
      <c r="K13" s="5" t="s">
        <v>77</v>
      </c>
    </row>
    <row r="14" customFormat="false" ht="78" hidden="false" customHeight="true" outlineLevel="0" collapsed="false">
      <c r="A14" s="4" t="s">
        <v>78</v>
      </c>
      <c r="B14" s="5" t="s">
        <v>79</v>
      </c>
      <c r="C14" s="6" t="s">
        <v>80</v>
      </c>
      <c r="D14" s="5" t="s">
        <v>81</v>
      </c>
      <c r="E14" s="5" t="s">
        <v>45</v>
      </c>
      <c r="F14" s="4" t="s">
        <v>46</v>
      </c>
      <c r="G14" s="4" t="s">
        <v>19</v>
      </c>
      <c r="H14" s="4" t="s">
        <v>20</v>
      </c>
      <c r="I14" s="5" t="s">
        <v>82</v>
      </c>
      <c r="J14" s="5" t="s">
        <v>83</v>
      </c>
      <c r="K14" s="5" t="s">
        <v>84</v>
      </c>
    </row>
    <row r="15" customFormat="false" ht="78" hidden="false" customHeight="true" outlineLevel="0" collapsed="false">
      <c r="A15" s="4" t="s">
        <v>85</v>
      </c>
      <c r="B15" s="5" t="s">
        <v>86</v>
      </c>
      <c r="C15" s="6" t="s">
        <v>87</v>
      </c>
      <c r="D15" s="5" t="s">
        <v>81</v>
      </c>
      <c r="E15" s="5" t="s">
        <v>45</v>
      </c>
      <c r="F15" s="4" t="s">
        <v>88</v>
      </c>
      <c r="G15" s="4" t="s">
        <v>19</v>
      </c>
      <c r="H15" s="4" t="s">
        <v>20</v>
      </c>
      <c r="I15" s="5" t="s">
        <v>89</v>
      </c>
      <c r="J15" s="5" t="s">
        <v>90</v>
      </c>
      <c r="K15" s="5" t="s">
        <v>91</v>
      </c>
    </row>
    <row r="16" customFormat="false" ht="78" hidden="false" customHeight="true" outlineLevel="0" collapsed="false">
      <c r="A16" s="4" t="s">
        <v>92</v>
      </c>
      <c r="B16" s="5" t="s">
        <v>93</v>
      </c>
      <c r="C16" s="6" t="s">
        <v>94</v>
      </c>
      <c r="D16" s="5" t="s">
        <v>53</v>
      </c>
      <c r="E16" s="5" t="s">
        <v>45</v>
      </c>
      <c r="F16" s="4" t="s">
        <v>46</v>
      </c>
      <c r="G16" s="4" t="s">
        <v>19</v>
      </c>
      <c r="H16" s="4" t="s">
        <v>20</v>
      </c>
      <c r="I16" s="5" t="s">
        <v>95</v>
      </c>
      <c r="J16" s="5" t="s">
        <v>96</v>
      </c>
      <c r="K16" s="5" t="s">
        <v>97</v>
      </c>
    </row>
    <row r="17" customFormat="false" ht="78" hidden="false" customHeight="true" outlineLevel="0" collapsed="false">
      <c r="A17" s="4" t="s">
        <v>98</v>
      </c>
      <c r="B17" s="5" t="s">
        <v>99</v>
      </c>
      <c r="C17" s="6" t="s">
        <v>100</v>
      </c>
      <c r="D17" s="5" t="s">
        <v>101</v>
      </c>
      <c r="E17" s="5" t="s">
        <v>45</v>
      </c>
      <c r="F17" s="4" t="s">
        <v>46</v>
      </c>
      <c r="G17" s="4" t="s">
        <v>19</v>
      </c>
      <c r="H17" s="4" t="s">
        <v>60</v>
      </c>
      <c r="I17" s="5" t="s">
        <v>102</v>
      </c>
      <c r="J17" s="5" t="s">
        <v>103</v>
      </c>
      <c r="K17" s="5" t="s">
        <v>104</v>
      </c>
    </row>
    <row r="18" customFormat="false" ht="78" hidden="false" customHeight="true" outlineLevel="0" collapsed="false">
      <c r="A18" s="4" t="s">
        <v>105</v>
      </c>
      <c r="B18" s="5" t="s">
        <v>106</v>
      </c>
      <c r="C18" s="6" t="s">
        <v>107</v>
      </c>
      <c r="D18" s="5" t="s">
        <v>101</v>
      </c>
      <c r="E18" s="5" t="s">
        <v>45</v>
      </c>
      <c r="F18" s="4" t="s">
        <v>88</v>
      </c>
      <c r="G18" s="4" t="s">
        <v>19</v>
      </c>
      <c r="H18" s="4" t="s">
        <v>60</v>
      </c>
      <c r="I18" s="5" t="s">
        <v>108</v>
      </c>
      <c r="J18" s="5" t="s">
        <v>103</v>
      </c>
      <c r="K18" s="5" t="s">
        <v>109</v>
      </c>
    </row>
    <row r="19" customFormat="false" ht="78" hidden="false" customHeight="true" outlineLevel="0" collapsed="false">
      <c r="A19" s="4" t="s">
        <v>110</v>
      </c>
      <c r="B19" s="5" t="s">
        <v>111</v>
      </c>
      <c r="C19" s="6" t="s">
        <v>112</v>
      </c>
      <c r="D19" s="5" t="s">
        <v>53</v>
      </c>
      <c r="E19" s="5" t="s">
        <v>45</v>
      </c>
      <c r="F19" s="4" t="s">
        <v>46</v>
      </c>
      <c r="G19" s="4" t="s">
        <v>19</v>
      </c>
      <c r="H19" s="4" t="s">
        <v>20</v>
      </c>
      <c r="I19" s="5" t="s">
        <v>113</v>
      </c>
      <c r="J19" s="5" t="s">
        <v>114</v>
      </c>
      <c r="K19" s="5" t="s">
        <v>115</v>
      </c>
    </row>
    <row r="20" customFormat="false" ht="78" hidden="false" customHeight="true" outlineLevel="0" collapsed="false">
      <c r="A20" s="4" t="s">
        <v>116</v>
      </c>
      <c r="B20" s="5" t="s">
        <v>117</v>
      </c>
      <c r="C20" s="6" t="s">
        <v>118</v>
      </c>
      <c r="D20" s="5" t="s">
        <v>119</v>
      </c>
      <c r="E20" s="5" t="s">
        <v>45</v>
      </c>
      <c r="F20" s="4" t="s">
        <v>46</v>
      </c>
      <c r="G20" s="4" t="s">
        <v>19</v>
      </c>
      <c r="H20" s="4" t="s">
        <v>20</v>
      </c>
      <c r="I20" s="5" t="s">
        <v>120</v>
      </c>
      <c r="J20" s="5" t="s">
        <v>121</v>
      </c>
      <c r="K20" s="5" t="s">
        <v>122</v>
      </c>
    </row>
    <row r="21" customFormat="false" ht="78" hidden="false" customHeight="true" outlineLevel="0" collapsed="false">
      <c r="A21" s="4" t="s">
        <v>123</v>
      </c>
      <c r="B21" s="5" t="s">
        <v>124</v>
      </c>
      <c r="C21" s="6" t="s">
        <v>125</v>
      </c>
      <c r="D21" s="5" t="s">
        <v>119</v>
      </c>
      <c r="E21" s="5" t="s">
        <v>45</v>
      </c>
      <c r="F21" s="4" t="s">
        <v>46</v>
      </c>
      <c r="G21" s="4" t="s">
        <v>19</v>
      </c>
      <c r="H21" s="4" t="s">
        <v>20</v>
      </c>
      <c r="I21" s="5" t="s">
        <v>126</v>
      </c>
      <c r="J21" s="5" t="s">
        <v>127</v>
      </c>
      <c r="K21" s="5" t="s">
        <v>128</v>
      </c>
    </row>
    <row r="22" customFormat="false" ht="78" hidden="false" customHeight="true" outlineLevel="0" collapsed="false">
      <c r="A22" s="4" t="s">
        <v>129</v>
      </c>
      <c r="B22" s="5" t="s">
        <v>130</v>
      </c>
      <c r="C22" s="6" t="s">
        <v>131</v>
      </c>
      <c r="D22" s="5" t="s">
        <v>132</v>
      </c>
      <c r="E22" s="5" t="s">
        <v>45</v>
      </c>
      <c r="F22" s="4" t="s">
        <v>133</v>
      </c>
      <c r="G22" s="4" t="s">
        <v>19</v>
      </c>
      <c r="H22" s="4" t="s">
        <v>20</v>
      </c>
      <c r="I22" s="5" t="s">
        <v>134</v>
      </c>
      <c r="J22" s="5" t="s">
        <v>135</v>
      </c>
      <c r="K22" s="5" t="s">
        <v>136</v>
      </c>
    </row>
    <row r="23" customFormat="false" ht="78" hidden="false" customHeight="true" outlineLevel="0" collapsed="false">
      <c r="A23" s="4" t="s">
        <v>137</v>
      </c>
      <c r="B23" s="5" t="s">
        <v>138</v>
      </c>
      <c r="C23" s="6" t="s">
        <v>139</v>
      </c>
      <c r="D23" s="5" t="s">
        <v>119</v>
      </c>
      <c r="E23" s="5" t="s">
        <v>45</v>
      </c>
      <c r="F23" s="4" t="s">
        <v>46</v>
      </c>
      <c r="G23" s="4" t="s">
        <v>19</v>
      </c>
      <c r="H23" s="4" t="s">
        <v>20</v>
      </c>
      <c r="I23" s="5" t="s">
        <v>140</v>
      </c>
      <c r="J23" s="5" t="s">
        <v>141</v>
      </c>
      <c r="K23" s="5" t="s">
        <v>142</v>
      </c>
    </row>
    <row r="24" customFormat="false" ht="78" hidden="false" customHeight="true" outlineLevel="0" collapsed="false">
      <c r="A24" s="4" t="s">
        <v>143</v>
      </c>
      <c r="B24" s="5" t="s">
        <v>144</v>
      </c>
      <c r="C24" s="6" t="s">
        <v>145</v>
      </c>
      <c r="D24" s="5" t="s">
        <v>146</v>
      </c>
      <c r="E24" s="5" t="s">
        <v>147</v>
      </c>
      <c r="F24" s="4" t="s">
        <v>148</v>
      </c>
      <c r="G24" s="4" t="s">
        <v>19</v>
      </c>
      <c r="H24" s="4" t="s">
        <v>60</v>
      </c>
      <c r="I24" s="5" t="s">
        <v>149</v>
      </c>
      <c r="J24" s="5" t="s">
        <v>150</v>
      </c>
      <c r="K24" s="5" t="s">
        <v>151</v>
      </c>
    </row>
    <row r="25" customFormat="false" ht="78" hidden="false" customHeight="true" outlineLevel="0" collapsed="false">
      <c r="A25" s="4" t="s">
        <v>152</v>
      </c>
      <c r="B25" s="5" t="s">
        <v>153</v>
      </c>
      <c r="C25" s="6" t="s">
        <v>154</v>
      </c>
      <c r="D25" s="5" t="s">
        <v>146</v>
      </c>
      <c r="E25" s="5" t="s">
        <v>155</v>
      </c>
      <c r="F25" s="4" t="s">
        <v>148</v>
      </c>
      <c r="G25" s="4" t="s">
        <v>19</v>
      </c>
      <c r="H25" s="4" t="s">
        <v>60</v>
      </c>
      <c r="I25" s="5" t="s">
        <v>156</v>
      </c>
      <c r="J25" s="5" t="s">
        <v>157</v>
      </c>
      <c r="K25" s="5" t="s">
        <v>158</v>
      </c>
    </row>
    <row r="26" customFormat="false" ht="78" hidden="false" customHeight="true" outlineLevel="0" collapsed="false">
      <c r="A26" s="4" t="s">
        <v>159</v>
      </c>
      <c r="B26" s="5" t="s">
        <v>160</v>
      </c>
      <c r="C26" s="6" t="s">
        <v>161</v>
      </c>
      <c r="D26" s="5" t="s">
        <v>162</v>
      </c>
      <c r="E26" s="5" t="s">
        <v>45</v>
      </c>
      <c r="F26" s="4" t="s">
        <v>163</v>
      </c>
      <c r="G26" s="4" t="s">
        <v>19</v>
      </c>
      <c r="H26" s="4" t="s">
        <v>20</v>
      </c>
      <c r="I26" s="5" t="s">
        <v>164</v>
      </c>
      <c r="J26" s="5" t="s">
        <v>165</v>
      </c>
      <c r="K26" s="5" t="s">
        <v>166</v>
      </c>
    </row>
    <row r="27" customFormat="false" ht="78" hidden="false" customHeight="true" outlineLevel="0" collapsed="false">
      <c r="A27" s="4" t="s">
        <v>167</v>
      </c>
      <c r="B27" s="5" t="s">
        <v>168</v>
      </c>
      <c r="C27" s="6" t="s">
        <v>169</v>
      </c>
      <c r="D27" s="5" t="s">
        <v>146</v>
      </c>
      <c r="E27" s="5" t="s">
        <v>170</v>
      </c>
      <c r="F27" s="4" t="s">
        <v>171</v>
      </c>
      <c r="G27" s="4" t="s">
        <v>19</v>
      </c>
      <c r="H27" s="4" t="s">
        <v>60</v>
      </c>
      <c r="I27" s="5" t="s">
        <v>172</v>
      </c>
      <c r="J27" s="5" t="s">
        <v>173</v>
      </c>
      <c r="K27" s="5" t="s">
        <v>174</v>
      </c>
    </row>
    <row r="28" customFormat="false" ht="78" hidden="false" customHeight="true" outlineLevel="0" collapsed="false">
      <c r="A28" s="4" t="s">
        <v>175</v>
      </c>
      <c r="B28" s="5" t="s">
        <v>176</v>
      </c>
      <c r="C28" s="6" t="s">
        <v>177</v>
      </c>
      <c r="D28" s="5" t="s">
        <v>178</v>
      </c>
      <c r="E28" s="5" t="s">
        <v>179</v>
      </c>
      <c r="F28" s="4" t="s">
        <v>180</v>
      </c>
      <c r="G28" s="4" t="s">
        <v>19</v>
      </c>
      <c r="H28" s="4" t="s">
        <v>60</v>
      </c>
      <c r="I28" s="5" t="s">
        <v>181</v>
      </c>
      <c r="J28" s="5" t="s">
        <v>182</v>
      </c>
      <c r="K28" s="5" t="s">
        <v>183</v>
      </c>
    </row>
    <row r="29" customFormat="false" ht="78" hidden="false" customHeight="true" outlineLevel="0" collapsed="false">
      <c r="A29" s="4" t="s">
        <v>184</v>
      </c>
      <c r="B29" s="5" t="s">
        <v>185</v>
      </c>
      <c r="C29" s="6" t="s">
        <v>186</v>
      </c>
      <c r="D29" s="5" t="s">
        <v>187</v>
      </c>
      <c r="E29" s="5" t="s">
        <v>188</v>
      </c>
      <c r="F29" s="4" t="s">
        <v>189</v>
      </c>
      <c r="G29" s="4" t="s">
        <v>19</v>
      </c>
      <c r="H29" s="4" t="s">
        <v>60</v>
      </c>
      <c r="I29" s="5" t="s">
        <v>190</v>
      </c>
      <c r="J29" s="5" t="s">
        <v>157</v>
      </c>
      <c r="K29" s="5" t="s">
        <v>191</v>
      </c>
    </row>
    <row r="30" customFormat="false" ht="78" hidden="false" customHeight="true" outlineLevel="0" collapsed="false">
      <c r="A30" s="4" t="s">
        <v>192</v>
      </c>
      <c r="B30" s="5" t="s">
        <v>193</v>
      </c>
      <c r="C30" s="6" t="s">
        <v>194</v>
      </c>
      <c r="D30" s="5" t="s">
        <v>195</v>
      </c>
      <c r="E30" s="5" t="s">
        <v>196</v>
      </c>
      <c r="F30" s="4" t="s">
        <v>197</v>
      </c>
      <c r="G30" s="4" t="s">
        <v>19</v>
      </c>
      <c r="H30" s="4" t="s">
        <v>198</v>
      </c>
      <c r="I30" s="5" t="s">
        <v>199</v>
      </c>
      <c r="J30" s="5" t="s">
        <v>200</v>
      </c>
      <c r="K30" s="5" t="s">
        <v>201</v>
      </c>
    </row>
    <row r="31" customFormat="false" ht="78" hidden="false" customHeight="true" outlineLevel="0" collapsed="false">
      <c r="A31" s="4" t="s">
        <v>202</v>
      </c>
      <c r="B31" s="5" t="s">
        <v>203</v>
      </c>
      <c r="C31" s="6" t="s">
        <v>204</v>
      </c>
      <c r="D31" s="5" t="s">
        <v>146</v>
      </c>
      <c r="E31" s="5" t="s">
        <v>147</v>
      </c>
      <c r="F31" s="4" t="s">
        <v>205</v>
      </c>
      <c r="G31" s="4" t="s">
        <v>19</v>
      </c>
      <c r="H31" s="4" t="s">
        <v>60</v>
      </c>
      <c r="I31" s="5" t="s">
        <v>206</v>
      </c>
      <c r="J31" s="5" t="s">
        <v>207</v>
      </c>
      <c r="K31" s="5" t="s">
        <v>208</v>
      </c>
    </row>
    <row r="32" customFormat="false" ht="78" hidden="false" customHeight="true" outlineLevel="0" collapsed="false">
      <c r="A32" s="4" t="s">
        <v>209</v>
      </c>
      <c r="B32" s="5" t="s">
        <v>210</v>
      </c>
      <c r="C32" s="6" t="s">
        <v>211</v>
      </c>
      <c r="D32" s="5" t="s">
        <v>212</v>
      </c>
      <c r="E32" s="5" t="s">
        <v>213</v>
      </c>
      <c r="F32" s="4" t="s">
        <v>214</v>
      </c>
      <c r="G32" s="4" t="s">
        <v>19</v>
      </c>
      <c r="H32" s="4" t="s">
        <v>60</v>
      </c>
      <c r="I32" s="5" t="s">
        <v>215</v>
      </c>
      <c r="J32" s="5" t="s">
        <v>216</v>
      </c>
      <c r="K32" s="5" t="s">
        <v>217</v>
      </c>
    </row>
    <row r="33" customFormat="false" ht="78" hidden="false" customHeight="true" outlineLevel="0" collapsed="false">
      <c r="A33" s="4" t="s">
        <v>218</v>
      </c>
      <c r="B33" s="5" t="s">
        <v>219</v>
      </c>
      <c r="C33" s="6" t="s">
        <v>220</v>
      </c>
      <c r="D33" s="5" t="s">
        <v>221</v>
      </c>
      <c r="E33" s="5" t="s">
        <v>222</v>
      </c>
      <c r="F33" s="4" t="s">
        <v>46</v>
      </c>
      <c r="G33" s="4" t="s">
        <v>19</v>
      </c>
      <c r="H33" s="4" t="s">
        <v>198</v>
      </c>
      <c r="I33" s="5" t="s">
        <v>223</v>
      </c>
      <c r="J33" s="5" t="s">
        <v>224</v>
      </c>
      <c r="K33" s="5" t="s">
        <v>225</v>
      </c>
    </row>
    <row r="34" customFormat="false" ht="78" hidden="false" customHeight="true" outlineLevel="0" collapsed="false">
      <c r="A34" s="4" t="s">
        <v>226</v>
      </c>
      <c r="B34" s="5" t="s">
        <v>227</v>
      </c>
      <c r="C34" s="6" t="s">
        <v>228</v>
      </c>
      <c r="D34" s="5" t="s">
        <v>229</v>
      </c>
      <c r="E34" s="5" t="s">
        <v>230</v>
      </c>
      <c r="F34" s="4" t="s">
        <v>231</v>
      </c>
      <c r="G34" s="4" t="s">
        <v>19</v>
      </c>
      <c r="H34" s="4" t="s">
        <v>198</v>
      </c>
      <c r="I34" s="5" t="s">
        <v>232</v>
      </c>
      <c r="J34" s="5" t="s">
        <v>62</v>
      </c>
      <c r="K34" s="5" t="s">
        <v>233</v>
      </c>
    </row>
    <row r="35" customFormat="false" ht="78" hidden="false" customHeight="true" outlineLevel="0" collapsed="false">
      <c r="A35" s="4" t="s">
        <v>234</v>
      </c>
      <c r="B35" s="5" t="s">
        <v>235</v>
      </c>
      <c r="C35" s="6" t="s">
        <v>236</v>
      </c>
      <c r="D35" s="5" t="s">
        <v>237</v>
      </c>
      <c r="E35" s="5" t="s">
        <v>238</v>
      </c>
      <c r="F35" s="4" t="s">
        <v>239</v>
      </c>
      <c r="G35" s="4" t="s">
        <v>19</v>
      </c>
      <c r="H35" s="4" t="s">
        <v>198</v>
      </c>
      <c r="I35" s="5" t="s">
        <v>240</v>
      </c>
      <c r="J35" s="5" t="s">
        <v>39</v>
      </c>
      <c r="K35" s="5" t="s">
        <v>241</v>
      </c>
    </row>
    <row r="36" customFormat="false" ht="78" hidden="false" customHeight="true" outlineLevel="0" collapsed="false">
      <c r="A36" s="4" t="s">
        <v>242</v>
      </c>
      <c r="B36" s="5" t="s">
        <v>243</v>
      </c>
      <c r="C36" s="6" t="s">
        <v>244</v>
      </c>
      <c r="D36" s="5" t="s">
        <v>245</v>
      </c>
      <c r="E36" s="5" t="s">
        <v>246</v>
      </c>
      <c r="F36" s="4" t="s">
        <v>148</v>
      </c>
      <c r="G36" s="4" t="s">
        <v>19</v>
      </c>
      <c r="H36" s="4" t="s">
        <v>60</v>
      </c>
      <c r="I36" s="5" t="s">
        <v>247</v>
      </c>
      <c r="J36" s="5" t="s">
        <v>248</v>
      </c>
      <c r="K36" s="5" t="s">
        <v>249</v>
      </c>
    </row>
    <row r="37" customFormat="false" ht="78" hidden="false" customHeight="true" outlineLevel="0" collapsed="false">
      <c r="A37" s="4" t="s">
        <v>250</v>
      </c>
      <c r="B37" s="5" t="s">
        <v>251</v>
      </c>
      <c r="C37" s="6" t="s">
        <v>252</v>
      </c>
      <c r="D37" s="5" t="s">
        <v>146</v>
      </c>
      <c r="E37" s="5" t="s">
        <v>253</v>
      </c>
      <c r="F37" s="4" t="s">
        <v>197</v>
      </c>
      <c r="G37" s="4" t="s">
        <v>19</v>
      </c>
      <c r="H37" s="4" t="s">
        <v>198</v>
      </c>
      <c r="I37" s="5" t="s">
        <v>254</v>
      </c>
      <c r="J37" s="5" t="s">
        <v>255</v>
      </c>
      <c r="K37" s="5" t="s">
        <v>256</v>
      </c>
    </row>
    <row r="38" customFormat="false" ht="78" hidden="false" customHeight="true" outlineLevel="0" collapsed="false">
      <c r="A38" s="4" t="s">
        <v>257</v>
      </c>
      <c r="B38" s="5" t="s">
        <v>258</v>
      </c>
      <c r="C38" s="6" t="s">
        <v>259</v>
      </c>
      <c r="D38" s="5" t="s">
        <v>81</v>
      </c>
      <c r="E38" s="5" t="s">
        <v>45</v>
      </c>
      <c r="F38" s="4" t="s">
        <v>46</v>
      </c>
      <c r="G38" s="4" t="s">
        <v>19</v>
      </c>
      <c r="H38" s="4" t="s">
        <v>20</v>
      </c>
      <c r="I38" s="5" t="s">
        <v>260</v>
      </c>
      <c r="J38" s="5" t="s">
        <v>261</v>
      </c>
      <c r="K38" s="5" t="s">
        <v>262</v>
      </c>
    </row>
    <row r="39" customFormat="false" ht="78" hidden="false" customHeight="true" outlineLevel="0" collapsed="false">
      <c r="A39" s="4" t="s">
        <v>263</v>
      </c>
      <c r="B39" s="5" t="s">
        <v>264</v>
      </c>
      <c r="C39" s="6" t="s">
        <v>265</v>
      </c>
      <c r="D39" s="5" t="s">
        <v>132</v>
      </c>
      <c r="E39" s="5" t="s">
        <v>45</v>
      </c>
      <c r="F39" s="4" t="s">
        <v>266</v>
      </c>
      <c r="G39" s="4" t="s">
        <v>19</v>
      </c>
      <c r="H39" s="4" t="s">
        <v>20</v>
      </c>
      <c r="I39" s="5" t="s">
        <v>267</v>
      </c>
      <c r="J39" s="5" t="s">
        <v>268</v>
      </c>
      <c r="K39" s="5" t="s">
        <v>269</v>
      </c>
    </row>
    <row r="40" customFormat="false" ht="78" hidden="false" customHeight="true" outlineLevel="0" collapsed="false">
      <c r="A40" s="4" t="s">
        <v>270</v>
      </c>
      <c r="B40" s="5" t="s">
        <v>271</v>
      </c>
      <c r="C40" s="6" t="s">
        <v>272</v>
      </c>
      <c r="D40" s="5" t="s">
        <v>132</v>
      </c>
      <c r="E40" s="5" t="s">
        <v>45</v>
      </c>
      <c r="F40" s="4" t="s">
        <v>273</v>
      </c>
      <c r="G40" s="4" t="s">
        <v>19</v>
      </c>
      <c r="H40" s="4" t="s">
        <v>20</v>
      </c>
      <c r="I40" s="5" t="s">
        <v>274</v>
      </c>
      <c r="J40" s="5" t="s">
        <v>275</v>
      </c>
      <c r="K40" s="5" t="s">
        <v>276</v>
      </c>
    </row>
    <row r="42" customFormat="false" ht="15" hidden="false" customHeight="false" outlineLevel="0" collapsed="false">
      <c r="B42" s="7" t="s">
        <v>277</v>
      </c>
    </row>
    <row r="43" customFormat="false" ht="15" hidden="false" customHeight="false" outlineLevel="0" collapsed="false">
      <c r="B43" s="8" t="s">
        <v>20</v>
      </c>
      <c r="C43" s="9" t="n">
        <f aca="false">COUNTIF($H$5:$H$40,B43)</f>
        <v>20</v>
      </c>
    </row>
    <row r="44" customFormat="false" ht="15" hidden="false" customHeight="false" outlineLevel="0" collapsed="false">
      <c r="B44" s="8" t="s">
        <v>60</v>
      </c>
      <c r="C44" s="9" t="n">
        <f aca="false">COUNTIF($H$5:$H$40,B44)</f>
        <v>11</v>
      </c>
    </row>
    <row r="45" customFormat="false" ht="15" hidden="false" customHeight="false" outlineLevel="0" collapsed="false">
      <c r="B45" s="8" t="s">
        <v>198</v>
      </c>
      <c r="C45" s="9" t="n">
        <f aca="false">COUNTIF($H$5:$H$40,B45)</f>
        <v>5</v>
      </c>
    </row>
  </sheetData>
  <autoFilter ref="A4:K40"/>
  <conditionalFormatting sqref="H5:H40">
    <cfRule type="cellIs" priority="2" operator="equal" aboveAverage="0" equalAverage="0" bottom="0" percent="0" rank="0" text="" dxfId="6">
      <formula>"A"</formula>
    </cfRule>
    <cfRule type="cellIs" priority="3" operator="equal" aboveAverage="0" equalAverage="0" bottom="0" percent="0" rank="0" text="" dxfId="7">
      <formula>"B"</formula>
    </cfRule>
    <cfRule type="cellIs" priority="4" operator="equal" aboveAverage="0" equalAverage="0" bottom="0" percent="0" rank="0" text="" dxfId="8">
      <formula>"C"</formula>
    </cfRule>
  </conditionalFormatting>
  <hyperlinks>
    <hyperlink ref="C5" r:id="rId1" display="https://www.sec.gov/Archives/edgar/data/1653482/000162828026018731/gtlb-20260131.htm"/>
    <hyperlink ref="C6" r:id="rId2" display="https://www.sec.gov/Archives/edgar/data/1653482/000162828026018731/gtlb-20260131.htm"/>
    <hyperlink ref="C7" r:id="rId3" display="https://www.sec.gov/Archives/edgar/data/1653482/000162828026018731/gtlb-20260131.htm"/>
    <hyperlink ref="C8" r:id="rId4" display="https://www.sec.gov/Archives/edgar/data/1653482/000162828025014344/gtlb-20250131.htm"/>
    <hyperlink ref="C9" r:id="rId5" display="https://trust.gitlab.com/"/>
    <hyperlink ref="C10" r:id="rId6" display="https://handbook.gitlab.com/handbook/security/security-assurance/security-compliance/certifications/"/>
    <hyperlink ref="C11" r:id="rId7" display="https://handbook.gitlab.com/handbook/security/security-assurance/dedicated-compliance/certifications/"/>
    <hyperlink ref="C12" r:id="rId8" display="https://about.gitlab.com/press/releases/2023-01-26-gitlab-expands-security-certification-report-portfolio"/>
    <hyperlink ref="C13" r:id="rId9" display="https://about.gitlab.com/privacy/subprocessors"/>
    <hyperlink ref="C14" r:id="rId10" display="https://docs.gitlab.com/administration/dedicated/architecture"/>
    <hyperlink ref="C15" r:id="rId11" display="https://archives.docs.gitlab.com/16.7/ee/subscriptions/gitlab_dedicated"/>
    <hyperlink ref="C16" r:id="rId12" display="https://handbook.gitlab.com/handbook/engineering/gitlab-com/policies/disaster-recovery/"/>
    <hyperlink ref="C17" r:id="rId13" display="https://docs.gitlab.com/ee/architecture/blueprints/disaster_recovery/"/>
    <hyperlink ref="C18" r:id="rId14" display="https://archives.docs.gitlab.com/17.0/ee/architecture/blueprints/cells/infrastructure/disaster_recovery.html"/>
    <hyperlink ref="C19" r:id="rId15" display="https://handbook.gitlab.com/handbook/engineering/infrastructure/team/gitlab-dedicated/slas"/>
    <hyperlink ref="C20" r:id="rId16" display="https://handbook.gitlab.com/handbook/security/security-and-technology-policies/access-management-policy/"/>
    <hyperlink ref="C21" r:id="rId17" display="https://handbook.gitlab.com/handbook/security/access-management-policy"/>
    <hyperlink ref="C22" r:id="rId18" display="https://about.gitlab.com/blog/last-year-we-signed-the-secure-by-design-pledge-heres-our-progress/"/>
    <hyperlink ref="C23" r:id="rId19" display="https://about.gitlab.com/security/disclosure/"/>
    <hyperlink ref="C24" r:id="rId20" display="https://thehackernews.com/2024/05/cisa-warns-of-active-exploitation-of.html"/>
    <hyperlink ref="C25" r:id="rId21" display="https://scmagazine.com/news/critical-gitlab-account-takeover-flaw-added-to-cisas-kev-catalog"/>
    <hyperlink ref="C26" r:id="rId22" display="https://docs.gitlab.com/releases/patches/patch-release-gitlab-19-3-2-released/"/>
    <hyperlink ref="C27" r:id="rId23" display="https://cyberscoop.com/gitlab-critical-flaws-path-traversal-scans/"/>
    <hyperlink ref="C28" r:id="rId24" display="https://www.hivepro.com/threat-advisory/gitlab-path-traversal-cve-2026-85706-exploited-to-steal-secrets"/>
    <hyperlink ref="C29" r:id="rId25" display="https://www.infoq.com/news/2026/10/gitlab-critical-vulnerabilities/"/>
    <hyperlink ref="C30" r:id="rId26" display="https://daily.dev/posts/gitlab-critical-patch-release-19-4-1-19-3-3-19-2-7-rdpef3qur"/>
    <hyperlink ref="C31" r:id="rId27" display="https://thehackernews.com/2025/05/gitlab-duo-vulnerability-enabled.html"/>
    <hyperlink ref="C32" r:id="rId28" display="https://www.hkcert.org/tc/security-bulletin/gitlab-multiple-vulnerabilities_20260914"/>
    <hyperlink ref="C33" r:id="rId29" display="https://www.upguard.com/security-report/gitlab"/>
    <hyperlink ref="C34" r:id="rId30" display="https://www.builtinboston.com/job/senior-manager-security-compliance/10014280"/>
    <hyperlink ref="C35" r:id="rId31" display="https://www.board-cybersecurity.com/governance/tracker/gitlab"/>
    <hyperlink ref="C36" r:id="rId32" display="https://db.gcve.eu/cve/CVE-2023-7028"/>
    <hyperlink ref="C37" r:id="rId33" display="https://securityonline.info/gitlab-critical-patch-release-rce/"/>
    <hyperlink ref="C38" r:id="rId34" display="https://docs.gitlab.com/ee/auth/auth_practices.html"/>
    <hyperlink ref="C39" r:id="rId35" display="https://about.gitlab.com/blog/top-5-compliance-features-to-leverage-in-gitlab/"/>
    <hyperlink ref="C40" r:id="rId36" display="https://about.gitlab.com/blog/soc2-complian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3" min="3" style="0" width="30"/>
    <col collapsed="false" customWidth="true" hidden="false" outlineLevel="0" max="4" min="4" style="0" width="14"/>
    <col collapsed="false" customWidth="true" hidden="false" outlineLevel="0" max="5" min="5" style="0" width="70"/>
    <col collapsed="false" customWidth="true" hidden="false" outlineLevel="0" max="6" min="6" style="0" width="20"/>
    <col collapsed="false" customWidth="true" hidden="false" outlineLevel="0" max="7" min="7" style="0" width="9"/>
    <col collapsed="false" customWidth="true" hidden="false" outlineLevel="0" max="8" min="8" style="0" width="24"/>
    <col collapsed="false" customWidth="true" hidden="false" outlineLevel="0" max="9" min="9" style="0" width="60"/>
    <col collapsed="false" customWidth="true" hidden="false" outlineLevel="0" max="10" min="10" style="0" width="54"/>
  </cols>
  <sheetData>
    <row r="1" customFormat="false" ht="17.35" hidden="false" customHeight="false" outlineLevel="0" collapsed="false">
      <c r="A1" s="1" t="s">
        <v>278</v>
      </c>
    </row>
    <row r="2" customFormat="false" ht="15" hidden="false" customHeight="false" outlineLevel="0" collapsed="false">
      <c r="A2" s="2" t="s">
        <v>279</v>
      </c>
    </row>
    <row r="4" customFormat="false" ht="31.5" hidden="false" customHeight="true" outlineLevel="0" collapsed="false">
      <c r="A4" s="3" t="s">
        <v>280</v>
      </c>
      <c r="B4" s="3" t="s">
        <v>281</v>
      </c>
      <c r="C4" s="3" t="s">
        <v>282</v>
      </c>
      <c r="D4" s="3" t="s">
        <v>283</v>
      </c>
      <c r="E4" s="3" t="s">
        <v>284</v>
      </c>
      <c r="F4" s="3" t="s">
        <v>285</v>
      </c>
      <c r="G4" s="3" t="s">
        <v>286</v>
      </c>
      <c r="H4" s="3" t="s">
        <v>287</v>
      </c>
      <c r="I4" s="3" t="s">
        <v>288</v>
      </c>
      <c r="J4" s="3" t="s">
        <v>289</v>
      </c>
    </row>
    <row r="5" customFormat="false" ht="84" hidden="false" customHeight="true" outlineLevel="0" collapsed="false">
      <c r="A5" s="4" t="s">
        <v>290</v>
      </c>
      <c r="B5" s="5" t="s">
        <v>291</v>
      </c>
      <c r="C5" s="5" t="s">
        <v>292</v>
      </c>
      <c r="D5" s="4" t="s">
        <v>293</v>
      </c>
      <c r="E5" s="5" t="s">
        <v>294</v>
      </c>
      <c r="F5" s="5" t="s">
        <v>295</v>
      </c>
      <c r="G5" s="10" t="n">
        <v>2</v>
      </c>
      <c r="H5" s="11" t="str">
        <f aca="false">INDEX($B$57:$B$60,MATCH(G5,$A$57:$A$60,0))</f>
        <v>Partiellement démontré</v>
      </c>
      <c r="I5" s="5" t="s">
        <v>296</v>
      </c>
      <c r="J5" s="5" t="s">
        <v>297</v>
      </c>
    </row>
    <row r="6" customFormat="false" ht="84" hidden="false" customHeight="true" outlineLevel="0" collapsed="false">
      <c r="A6" s="4" t="s">
        <v>298</v>
      </c>
      <c r="B6" s="5" t="s">
        <v>299</v>
      </c>
      <c r="C6" s="5" t="s">
        <v>292</v>
      </c>
      <c r="D6" s="4" t="s">
        <v>300</v>
      </c>
      <c r="E6" s="5" t="s">
        <v>301</v>
      </c>
      <c r="F6" s="5" t="s">
        <v>302</v>
      </c>
      <c r="G6" s="10" t="n">
        <v>2</v>
      </c>
      <c r="H6" s="11" t="str">
        <f aca="false">INDEX($B$57:$B$60,MATCH(G6,$A$57:$A$60,0))</f>
        <v>Partiellement démontré</v>
      </c>
      <c r="I6" s="5" t="s">
        <v>303</v>
      </c>
      <c r="J6" s="5" t="s">
        <v>304</v>
      </c>
    </row>
    <row r="7" customFormat="false" ht="84" hidden="false" customHeight="true" outlineLevel="0" collapsed="false">
      <c r="A7" s="4" t="s">
        <v>305</v>
      </c>
      <c r="B7" s="5" t="s">
        <v>306</v>
      </c>
      <c r="C7" s="5" t="s">
        <v>292</v>
      </c>
      <c r="D7" s="4" t="s">
        <v>307</v>
      </c>
      <c r="E7" s="5" t="s">
        <v>308</v>
      </c>
      <c r="F7" s="5" t="s">
        <v>309</v>
      </c>
      <c r="G7" s="10" t="n">
        <v>3</v>
      </c>
      <c r="H7" s="11" t="str">
        <f aca="false">INDEX($B$57:$B$60,MATCH(G7,$A$57:$A$60,0))</f>
        <v>Fortement démontré</v>
      </c>
      <c r="I7" s="5" t="s">
        <v>310</v>
      </c>
      <c r="J7" s="5" t="s">
        <v>311</v>
      </c>
    </row>
    <row r="8" customFormat="false" ht="84" hidden="false" customHeight="true" outlineLevel="0" collapsed="false">
      <c r="A8" s="4" t="s">
        <v>312</v>
      </c>
      <c r="B8" s="5" t="s">
        <v>313</v>
      </c>
      <c r="C8" s="5" t="s">
        <v>292</v>
      </c>
      <c r="D8" s="4" t="s">
        <v>314</v>
      </c>
      <c r="E8" s="5" t="s">
        <v>315</v>
      </c>
      <c r="F8" s="5" t="s">
        <v>29</v>
      </c>
      <c r="G8" s="10" t="n">
        <v>1</v>
      </c>
      <c r="H8" s="11" t="str">
        <f aca="false">INDEX($B$57:$B$60,MATCH(G8,$A$57:$A$60,0))</f>
        <v>Non vérifiable publiquement</v>
      </c>
      <c r="I8" s="5" t="s">
        <v>316</v>
      </c>
      <c r="J8" s="5" t="s">
        <v>317</v>
      </c>
    </row>
    <row r="9" customFormat="false" ht="84" hidden="false" customHeight="true" outlineLevel="0" collapsed="false">
      <c r="A9" s="4" t="s">
        <v>318</v>
      </c>
      <c r="B9" s="5" t="s">
        <v>319</v>
      </c>
      <c r="C9" s="5" t="s">
        <v>320</v>
      </c>
      <c r="D9" s="4" t="s">
        <v>321</v>
      </c>
      <c r="E9" s="5" t="s">
        <v>322</v>
      </c>
      <c r="F9" s="5" t="s">
        <v>323</v>
      </c>
      <c r="G9" s="10" t="n">
        <v>2</v>
      </c>
      <c r="H9" s="11" t="str">
        <f aca="false">INDEX($B$57:$B$60,MATCH(G9,$A$57:$A$60,0))</f>
        <v>Partiellement démontré</v>
      </c>
      <c r="I9" s="5" t="s">
        <v>324</v>
      </c>
      <c r="J9" s="5" t="s">
        <v>325</v>
      </c>
    </row>
    <row r="10" customFormat="false" ht="84" hidden="false" customHeight="true" outlineLevel="0" collapsed="false">
      <c r="A10" s="4" t="s">
        <v>326</v>
      </c>
      <c r="B10" s="5" t="s">
        <v>327</v>
      </c>
      <c r="C10" s="5" t="s">
        <v>320</v>
      </c>
      <c r="D10" s="4" t="s">
        <v>328</v>
      </c>
      <c r="E10" s="5" t="s">
        <v>329</v>
      </c>
      <c r="F10" s="5" t="s">
        <v>330</v>
      </c>
      <c r="G10" s="10" t="n">
        <v>1</v>
      </c>
      <c r="H10" s="11" t="str">
        <f aca="false">INDEX($B$57:$B$60,MATCH(G10,$A$57:$A$60,0))</f>
        <v>Non vérifiable publiquement</v>
      </c>
      <c r="I10" s="5" t="s">
        <v>331</v>
      </c>
      <c r="J10" s="5" t="s">
        <v>332</v>
      </c>
    </row>
    <row r="11" customFormat="false" ht="84" hidden="false" customHeight="true" outlineLevel="0" collapsed="false">
      <c r="A11" s="4" t="s">
        <v>333</v>
      </c>
      <c r="B11" s="5" t="s">
        <v>334</v>
      </c>
      <c r="C11" s="5" t="s">
        <v>320</v>
      </c>
      <c r="D11" s="4" t="s">
        <v>335</v>
      </c>
      <c r="E11" s="5" t="s">
        <v>336</v>
      </c>
      <c r="F11" s="5" t="s">
        <v>337</v>
      </c>
      <c r="G11" s="10" t="n">
        <v>2</v>
      </c>
      <c r="H11" s="11" t="str">
        <f aca="false">INDEX($B$57:$B$60,MATCH(G11,$A$57:$A$60,0))</f>
        <v>Partiellement démontré</v>
      </c>
      <c r="I11" s="5" t="s">
        <v>338</v>
      </c>
      <c r="J11" s="5" t="s">
        <v>339</v>
      </c>
    </row>
    <row r="12" customFormat="false" ht="84" hidden="false" customHeight="true" outlineLevel="0" collapsed="false">
      <c r="A12" s="4" t="s">
        <v>340</v>
      </c>
      <c r="B12" s="5" t="s">
        <v>341</v>
      </c>
      <c r="C12" s="5" t="s">
        <v>320</v>
      </c>
      <c r="D12" s="4" t="s">
        <v>342</v>
      </c>
      <c r="E12" s="5" t="s">
        <v>343</v>
      </c>
      <c r="F12" s="5" t="s">
        <v>344</v>
      </c>
      <c r="G12" s="10" t="n">
        <v>1</v>
      </c>
      <c r="H12" s="11" t="str">
        <f aca="false">INDEX($B$57:$B$60,MATCH(G12,$A$57:$A$60,0))</f>
        <v>Non vérifiable publiquement</v>
      </c>
      <c r="I12" s="5" t="s">
        <v>345</v>
      </c>
      <c r="J12" s="5" t="s">
        <v>346</v>
      </c>
    </row>
    <row r="13" customFormat="false" ht="84" hidden="false" customHeight="true" outlineLevel="0" collapsed="false">
      <c r="A13" s="4" t="s">
        <v>347</v>
      </c>
      <c r="B13" s="5" t="s">
        <v>348</v>
      </c>
      <c r="C13" s="5" t="s">
        <v>349</v>
      </c>
      <c r="D13" s="4" t="s">
        <v>350</v>
      </c>
      <c r="E13" s="5" t="s">
        <v>351</v>
      </c>
      <c r="F13" s="5" t="s">
        <v>352</v>
      </c>
      <c r="G13" s="10" t="n">
        <v>1</v>
      </c>
      <c r="H13" s="11" t="str">
        <f aca="false">INDEX($B$57:$B$60,MATCH(G13,$A$57:$A$60,0))</f>
        <v>Non vérifiable publiquement</v>
      </c>
      <c r="I13" s="5" t="s">
        <v>353</v>
      </c>
      <c r="J13" s="5" t="s">
        <v>354</v>
      </c>
    </row>
    <row r="14" customFormat="false" ht="84" hidden="false" customHeight="true" outlineLevel="0" collapsed="false">
      <c r="A14" s="4" t="s">
        <v>355</v>
      </c>
      <c r="B14" s="5" t="s">
        <v>356</v>
      </c>
      <c r="C14" s="5" t="s">
        <v>349</v>
      </c>
      <c r="D14" s="4" t="s">
        <v>350</v>
      </c>
      <c r="E14" s="5" t="s">
        <v>357</v>
      </c>
      <c r="F14" s="5" t="s">
        <v>352</v>
      </c>
      <c r="G14" s="10" t="n">
        <v>1</v>
      </c>
      <c r="H14" s="11" t="str">
        <f aca="false">INDEX($B$57:$B$60,MATCH(G14,$A$57:$A$60,0))</f>
        <v>Non vérifiable publiquement</v>
      </c>
      <c r="I14" s="5" t="s">
        <v>358</v>
      </c>
      <c r="J14" s="5" t="s">
        <v>359</v>
      </c>
    </row>
    <row r="15" customFormat="false" ht="84" hidden="false" customHeight="true" outlineLevel="0" collapsed="false">
      <c r="A15" s="4" t="s">
        <v>360</v>
      </c>
      <c r="B15" s="5" t="s">
        <v>361</v>
      </c>
      <c r="C15" s="5" t="s">
        <v>349</v>
      </c>
      <c r="D15" s="4" t="s">
        <v>255</v>
      </c>
      <c r="E15" s="5" t="s">
        <v>362</v>
      </c>
      <c r="F15" s="5" t="s">
        <v>363</v>
      </c>
      <c r="G15" s="10" t="n">
        <v>3</v>
      </c>
      <c r="H15" s="11" t="str">
        <f aca="false">INDEX($B$57:$B$60,MATCH(G15,$A$57:$A$60,0))</f>
        <v>Fortement démontré</v>
      </c>
      <c r="I15" s="5" t="s">
        <v>364</v>
      </c>
      <c r="J15" s="5" t="s">
        <v>365</v>
      </c>
    </row>
    <row r="16" customFormat="false" ht="84" hidden="false" customHeight="true" outlineLevel="0" collapsed="false">
      <c r="A16" s="4" t="s">
        <v>366</v>
      </c>
      <c r="B16" s="5" t="s">
        <v>367</v>
      </c>
      <c r="C16" s="5" t="s">
        <v>349</v>
      </c>
      <c r="D16" s="4" t="s">
        <v>368</v>
      </c>
      <c r="E16" s="5" t="s">
        <v>369</v>
      </c>
      <c r="F16" s="5" t="s">
        <v>370</v>
      </c>
      <c r="G16" s="10" t="n">
        <v>0</v>
      </c>
      <c r="H16" s="11" t="str">
        <f aca="false">INDEX($B$57:$B$60,MATCH(G16,$A$57:$A$60,0))</f>
        <v>Signal public d'exposition</v>
      </c>
      <c r="I16" s="5" t="s">
        <v>371</v>
      </c>
      <c r="J16" s="5" t="s">
        <v>372</v>
      </c>
    </row>
    <row r="17" customFormat="false" ht="84" hidden="false" customHeight="true" outlineLevel="0" collapsed="false">
      <c r="A17" s="4" t="s">
        <v>373</v>
      </c>
      <c r="B17" s="5" t="s">
        <v>374</v>
      </c>
      <c r="C17" s="5" t="s">
        <v>349</v>
      </c>
      <c r="D17" s="4" t="s">
        <v>375</v>
      </c>
      <c r="E17" s="5" t="s">
        <v>376</v>
      </c>
      <c r="F17" s="5" t="s">
        <v>377</v>
      </c>
      <c r="G17" s="10" t="n">
        <v>2</v>
      </c>
      <c r="H17" s="11" t="str">
        <f aca="false">INDEX($B$57:$B$60,MATCH(G17,$A$57:$A$60,0))</f>
        <v>Partiellement démontré</v>
      </c>
      <c r="I17" s="5" t="s">
        <v>378</v>
      </c>
      <c r="J17" s="5" t="s">
        <v>379</v>
      </c>
    </row>
    <row r="18" customFormat="false" ht="84" hidden="false" customHeight="true" outlineLevel="0" collapsed="false">
      <c r="A18" s="4" t="s">
        <v>380</v>
      </c>
      <c r="B18" s="5" t="s">
        <v>381</v>
      </c>
      <c r="C18" s="5" t="s">
        <v>382</v>
      </c>
      <c r="D18" s="4" t="s">
        <v>383</v>
      </c>
      <c r="E18" s="5" t="s">
        <v>384</v>
      </c>
      <c r="F18" s="5" t="s">
        <v>385</v>
      </c>
      <c r="G18" s="10" t="n">
        <v>2</v>
      </c>
      <c r="H18" s="11" t="str">
        <f aca="false">INDEX($B$57:$B$60,MATCH(G18,$A$57:$A$60,0))</f>
        <v>Partiellement démontré</v>
      </c>
      <c r="I18" s="5" t="s">
        <v>386</v>
      </c>
      <c r="J18" s="5" t="s">
        <v>387</v>
      </c>
    </row>
    <row r="19" customFormat="false" ht="84" hidden="false" customHeight="true" outlineLevel="0" collapsed="false">
      <c r="A19" s="4" t="s">
        <v>388</v>
      </c>
      <c r="B19" s="5" t="s">
        <v>389</v>
      </c>
      <c r="C19" s="5" t="s">
        <v>382</v>
      </c>
      <c r="D19" s="4" t="s">
        <v>390</v>
      </c>
      <c r="E19" s="5" t="s">
        <v>391</v>
      </c>
      <c r="F19" s="5" t="s">
        <v>392</v>
      </c>
      <c r="G19" s="10" t="n">
        <v>2</v>
      </c>
      <c r="H19" s="11" t="str">
        <f aca="false">INDEX($B$57:$B$60,MATCH(G19,$A$57:$A$60,0))</f>
        <v>Partiellement démontré</v>
      </c>
      <c r="I19" s="5" t="s">
        <v>393</v>
      </c>
      <c r="J19" s="5" t="s">
        <v>394</v>
      </c>
    </row>
    <row r="20" customFormat="false" ht="84" hidden="false" customHeight="true" outlineLevel="0" collapsed="false">
      <c r="A20" s="4" t="s">
        <v>395</v>
      </c>
      <c r="B20" s="5" t="s">
        <v>396</v>
      </c>
      <c r="C20" s="5" t="s">
        <v>382</v>
      </c>
      <c r="D20" s="4" t="s">
        <v>397</v>
      </c>
      <c r="E20" s="5" t="s">
        <v>398</v>
      </c>
      <c r="F20" s="5" t="s">
        <v>24</v>
      </c>
      <c r="G20" s="10" t="n">
        <v>1</v>
      </c>
      <c r="H20" s="11" t="str">
        <f aca="false">INDEX($B$57:$B$60,MATCH(G20,$A$57:$A$60,0))</f>
        <v>Non vérifiable publiquement</v>
      </c>
      <c r="I20" s="5" t="s">
        <v>399</v>
      </c>
      <c r="J20" s="5" t="s">
        <v>400</v>
      </c>
    </row>
    <row r="21" customFormat="false" ht="84" hidden="false" customHeight="true" outlineLevel="0" collapsed="false">
      <c r="A21" s="4" t="s">
        <v>401</v>
      </c>
      <c r="B21" s="5" t="s">
        <v>402</v>
      </c>
      <c r="C21" s="5" t="s">
        <v>382</v>
      </c>
      <c r="D21" s="4" t="s">
        <v>403</v>
      </c>
      <c r="E21" s="5" t="s">
        <v>404</v>
      </c>
      <c r="F21" s="5" t="s">
        <v>405</v>
      </c>
      <c r="G21" s="10" t="n">
        <v>2</v>
      </c>
      <c r="H21" s="11" t="str">
        <f aca="false">INDEX($B$57:$B$60,MATCH(G21,$A$57:$A$60,0))</f>
        <v>Partiellement démontré</v>
      </c>
      <c r="I21" s="5" t="s">
        <v>406</v>
      </c>
      <c r="J21" s="5" t="s">
        <v>407</v>
      </c>
    </row>
    <row r="22" customFormat="false" ht="84" hidden="false" customHeight="true" outlineLevel="0" collapsed="false">
      <c r="A22" s="4" t="s">
        <v>408</v>
      </c>
      <c r="B22" s="5" t="s">
        <v>409</v>
      </c>
      <c r="C22" s="5" t="s">
        <v>410</v>
      </c>
      <c r="D22" s="4" t="s">
        <v>411</v>
      </c>
      <c r="E22" s="5" t="s">
        <v>412</v>
      </c>
      <c r="F22" s="5" t="s">
        <v>413</v>
      </c>
      <c r="G22" s="10" t="n">
        <v>3</v>
      </c>
      <c r="H22" s="11" t="str">
        <f aca="false">INDEX($B$57:$B$60,MATCH(G22,$A$57:$A$60,0))</f>
        <v>Fortement démontré</v>
      </c>
      <c r="I22" s="5" t="s">
        <v>414</v>
      </c>
      <c r="J22" s="5" t="s">
        <v>415</v>
      </c>
    </row>
    <row r="23" customFormat="false" ht="84" hidden="false" customHeight="true" outlineLevel="0" collapsed="false">
      <c r="A23" s="4" t="s">
        <v>416</v>
      </c>
      <c r="B23" s="5" t="s">
        <v>417</v>
      </c>
      <c r="C23" s="5" t="s">
        <v>410</v>
      </c>
      <c r="D23" s="4" t="s">
        <v>411</v>
      </c>
      <c r="E23" s="5" t="s">
        <v>418</v>
      </c>
      <c r="F23" s="5" t="s">
        <v>419</v>
      </c>
      <c r="G23" s="10" t="n">
        <v>0</v>
      </c>
      <c r="H23" s="11" t="str">
        <f aca="false">INDEX($B$57:$B$60,MATCH(G23,$A$57:$A$60,0))</f>
        <v>Signal public d'exposition</v>
      </c>
      <c r="I23" s="5" t="s">
        <v>420</v>
      </c>
      <c r="J23" s="5" t="s">
        <v>421</v>
      </c>
    </row>
    <row r="24" customFormat="false" ht="84" hidden="false" customHeight="true" outlineLevel="0" collapsed="false">
      <c r="A24" s="4" t="s">
        <v>422</v>
      </c>
      <c r="B24" s="5" t="s">
        <v>423</v>
      </c>
      <c r="C24" s="5" t="s">
        <v>410</v>
      </c>
      <c r="D24" s="4" t="s">
        <v>424</v>
      </c>
      <c r="E24" s="5" t="s">
        <v>425</v>
      </c>
      <c r="F24" s="5" t="s">
        <v>426</v>
      </c>
      <c r="G24" s="10" t="n">
        <v>2</v>
      </c>
      <c r="H24" s="11" t="str">
        <f aca="false">INDEX($B$57:$B$60,MATCH(G24,$A$57:$A$60,0))</f>
        <v>Partiellement démontré</v>
      </c>
      <c r="I24" s="5" t="s">
        <v>427</v>
      </c>
      <c r="J24" s="5" t="s">
        <v>428</v>
      </c>
    </row>
    <row r="25" customFormat="false" ht="84" hidden="false" customHeight="true" outlineLevel="0" collapsed="false">
      <c r="A25" s="4" t="s">
        <v>429</v>
      </c>
      <c r="B25" s="5" t="s">
        <v>430</v>
      </c>
      <c r="C25" s="5" t="s">
        <v>431</v>
      </c>
      <c r="D25" s="4" t="s">
        <v>432</v>
      </c>
      <c r="E25" s="5" t="s">
        <v>433</v>
      </c>
      <c r="F25" s="5" t="s">
        <v>434</v>
      </c>
      <c r="G25" s="10" t="n">
        <v>2</v>
      </c>
      <c r="H25" s="11" t="str">
        <f aca="false">INDEX($B$57:$B$60,MATCH(G25,$A$57:$A$60,0))</f>
        <v>Partiellement démontré</v>
      </c>
      <c r="I25" s="5" t="s">
        <v>435</v>
      </c>
      <c r="J25" s="5" t="s">
        <v>436</v>
      </c>
    </row>
    <row r="26" customFormat="false" ht="84" hidden="false" customHeight="true" outlineLevel="0" collapsed="false">
      <c r="A26" s="4" t="s">
        <v>437</v>
      </c>
      <c r="B26" s="5" t="s">
        <v>438</v>
      </c>
      <c r="C26" s="5" t="s">
        <v>431</v>
      </c>
      <c r="D26" s="4" t="s">
        <v>432</v>
      </c>
      <c r="E26" s="5" t="s">
        <v>439</v>
      </c>
      <c r="F26" s="5" t="s">
        <v>92</v>
      </c>
      <c r="G26" s="10" t="n">
        <v>3</v>
      </c>
      <c r="H26" s="11" t="str">
        <f aca="false">INDEX($B$57:$B$60,MATCH(G26,$A$57:$A$60,0))</f>
        <v>Fortement démontré</v>
      </c>
      <c r="I26" s="5" t="s">
        <v>440</v>
      </c>
      <c r="J26" s="5" t="s">
        <v>441</v>
      </c>
    </row>
    <row r="27" customFormat="false" ht="84" hidden="false" customHeight="true" outlineLevel="0" collapsed="false">
      <c r="A27" s="4" t="s">
        <v>442</v>
      </c>
      <c r="B27" s="5" t="s">
        <v>443</v>
      </c>
      <c r="C27" s="5" t="s">
        <v>431</v>
      </c>
      <c r="D27" s="4" t="s">
        <v>444</v>
      </c>
      <c r="E27" s="5" t="s">
        <v>445</v>
      </c>
      <c r="F27" s="5" t="s">
        <v>446</v>
      </c>
      <c r="G27" s="10" t="n">
        <v>2</v>
      </c>
      <c r="H27" s="11" t="str">
        <f aca="false">INDEX($B$57:$B$60,MATCH(G27,$A$57:$A$60,0))</f>
        <v>Partiellement démontré</v>
      </c>
      <c r="I27" s="5" t="s">
        <v>447</v>
      </c>
      <c r="J27" s="5" t="s">
        <v>448</v>
      </c>
    </row>
    <row r="28" customFormat="false" ht="84" hidden="false" customHeight="true" outlineLevel="0" collapsed="false">
      <c r="A28" s="4" t="s">
        <v>449</v>
      </c>
      <c r="B28" s="5" t="s">
        <v>450</v>
      </c>
      <c r="C28" s="5" t="s">
        <v>451</v>
      </c>
      <c r="D28" s="4" t="s">
        <v>452</v>
      </c>
      <c r="E28" s="5" t="s">
        <v>453</v>
      </c>
      <c r="F28" s="5" t="s">
        <v>454</v>
      </c>
      <c r="G28" s="10" t="n">
        <v>2</v>
      </c>
      <c r="H28" s="11" t="str">
        <f aca="false">INDEX($B$57:$B$60,MATCH(G28,$A$57:$A$60,0))</f>
        <v>Partiellement démontré</v>
      </c>
      <c r="I28" s="5" t="s">
        <v>455</v>
      </c>
      <c r="J28" s="5" t="s">
        <v>456</v>
      </c>
    </row>
    <row r="29" customFormat="false" ht="84" hidden="false" customHeight="true" outlineLevel="0" collapsed="false">
      <c r="A29" s="4" t="s">
        <v>457</v>
      </c>
      <c r="B29" s="5" t="s">
        <v>458</v>
      </c>
      <c r="C29" s="5" t="s">
        <v>451</v>
      </c>
      <c r="D29" s="4" t="s">
        <v>459</v>
      </c>
      <c r="E29" s="5" t="s">
        <v>460</v>
      </c>
      <c r="F29" s="5" t="s">
        <v>461</v>
      </c>
      <c r="G29" s="10" t="n">
        <v>1</v>
      </c>
      <c r="H29" s="11" t="str">
        <f aca="false">INDEX($B$57:$B$60,MATCH(G29,$A$57:$A$60,0))</f>
        <v>Non vérifiable publiquement</v>
      </c>
      <c r="I29" s="5" t="s">
        <v>358</v>
      </c>
      <c r="J29" s="5" t="s">
        <v>462</v>
      </c>
    </row>
    <row r="30" customFormat="false" ht="84" hidden="false" customHeight="true" outlineLevel="0" collapsed="false">
      <c r="A30" s="4" t="s">
        <v>463</v>
      </c>
      <c r="B30" s="5" t="s">
        <v>464</v>
      </c>
      <c r="C30" s="5" t="s">
        <v>465</v>
      </c>
      <c r="D30" s="4" t="s">
        <v>466</v>
      </c>
      <c r="E30" s="5" t="s">
        <v>467</v>
      </c>
      <c r="F30" s="5" t="s">
        <v>468</v>
      </c>
      <c r="G30" s="10" t="n">
        <v>2</v>
      </c>
      <c r="H30" s="11" t="str">
        <f aca="false">INDEX($B$57:$B$60,MATCH(G30,$A$57:$A$60,0))</f>
        <v>Partiellement démontré</v>
      </c>
      <c r="I30" s="5" t="s">
        <v>469</v>
      </c>
      <c r="J30" s="5" t="s">
        <v>470</v>
      </c>
    </row>
    <row r="31" customFormat="false" ht="84" hidden="false" customHeight="true" outlineLevel="0" collapsed="false">
      <c r="A31" s="4" t="s">
        <v>471</v>
      </c>
      <c r="B31" s="5" t="s">
        <v>472</v>
      </c>
      <c r="C31" s="5" t="s">
        <v>465</v>
      </c>
      <c r="D31" s="4" t="s">
        <v>473</v>
      </c>
      <c r="E31" s="5" t="s">
        <v>474</v>
      </c>
      <c r="F31" s="5" t="s">
        <v>475</v>
      </c>
      <c r="G31" s="10" t="n">
        <v>1</v>
      </c>
      <c r="H31" s="11" t="str">
        <f aca="false">INDEX($B$57:$B$60,MATCH(G31,$A$57:$A$60,0))</f>
        <v>Non vérifiable publiquement</v>
      </c>
      <c r="I31" s="5" t="s">
        <v>476</v>
      </c>
      <c r="J31" s="5" t="s">
        <v>477</v>
      </c>
    </row>
    <row r="32" customFormat="false" ht="84" hidden="false" customHeight="true" outlineLevel="0" collapsed="false">
      <c r="A32" s="4" t="s">
        <v>478</v>
      </c>
      <c r="B32" s="5" t="s">
        <v>479</v>
      </c>
      <c r="C32" s="5" t="s">
        <v>480</v>
      </c>
      <c r="D32" s="4" t="s">
        <v>335</v>
      </c>
      <c r="E32" s="5" t="s">
        <v>481</v>
      </c>
      <c r="F32" s="5" t="s">
        <v>13</v>
      </c>
      <c r="G32" s="10" t="n">
        <v>1</v>
      </c>
      <c r="H32" s="11" t="str">
        <f aca="false">INDEX($B$57:$B$60,MATCH(G32,$A$57:$A$60,0))</f>
        <v>Non vérifiable publiquement</v>
      </c>
      <c r="I32" s="5" t="s">
        <v>358</v>
      </c>
      <c r="J32" s="5" t="s">
        <v>482</v>
      </c>
    </row>
    <row r="33" customFormat="false" ht="84" hidden="false" customHeight="true" outlineLevel="0" collapsed="false">
      <c r="A33" s="4" t="s">
        <v>483</v>
      </c>
      <c r="B33" s="5" t="s">
        <v>484</v>
      </c>
      <c r="C33" s="5" t="s">
        <v>480</v>
      </c>
      <c r="D33" s="4" t="s">
        <v>485</v>
      </c>
      <c r="E33" s="5" t="s">
        <v>486</v>
      </c>
      <c r="F33" s="5" t="s">
        <v>116</v>
      </c>
      <c r="G33" s="10" t="n">
        <v>1</v>
      </c>
      <c r="H33" s="11" t="str">
        <f aca="false">INDEX($B$57:$B$60,MATCH(G33,$A$57:$A$60,0))</f>
        <v>Non vérifiable publiquement</v>
      </c>
      <c r="I33" s="5" t="s">
        <v>358</v>
      </c>
      <c r="J33" s="5" t="s">
        <v>487</v>
      </c>
    </row>
    <row r="34" customFormat="false" ht="84" hidden="false" customHeight="true" outlineLevel="0" collapsed="false">
      <c r="A34" s="4" t="s">
        <v>488</v>
      </c>
      <c r="B34" s="5" t="s">
        <v>489</v>
      </c>
      <c r="C34" s="5" t="s">
        <v>489</v>
      </c>
      <c r="D34" s="4" t="s">
        <v>490</v>
      </c>
      <c r="E34" s="5" t="s">
        <v>491</v>
      </c>
      <c r="F34" s="5" t="s">
        <v>24</v>
      </c>
      <c r="G34" s="10" t="n">
        <v>2</v>
      </c>
      <c r="H34" s="11" t="str">
        <f aca="false">INDEX($B$57:$B$60,MATCH(G34,$A$57:$A$60,0))</f>
        <v>Partiellement démontré</v>
      </c>
      <c r="I34" s="5" t="s">
        <v>492</v>
      </c>
      <c r="J34" s="5" t="s">
        <v>493</v>
      </c>
    </row>
    <row r="35" customFormat="false" ht="84" hidden="false" customHeight="true" outlineLevel="0" collapsed="false">
      <c r="A35" s="4" t="s">
        <v>494</v>
      </c>
      <c r="B35" s="5" t="s">
        <v>495</v>
      </c>
      <c r="C35" s="5" t="s">
        <v>496</v>
      </c>
      <c r="D35" s="4" t="s">
        <v>497</v>
      </c>
      <c r="E35" s="5" t="s">
        <v>498</v>
      </c>
      <c r="F35" s="5" t="s">
        <v>499</v>
      </c>
      <c r="G35" s="10" t="n">
        <v>3</v>
      </c>
      <c r="H35" s="11" t="str">
        <f aca="false">INDEX($B$57:$B$60,MATCH(G35,$A$57:$A$60,0))</f>
        <v>Fortement démontré</v>
      </c>
      <c r="I35" s="5" t="s">
        <v>500</v>
      </c>
      <c r="J35" s="5" t="s">
        <v>501</v>
      </c>
    </row>
    <row r="36" customFormat="false" ht="84" hidden="false" customHeight="true" outlineLevel="0" collapsed="false">
      <c r="A36" s="4" t="s">
        <v>502</v>
      </c>
      <c r="B36" s="5" t="s">
        <v>503</v>
      </c>
      <c r="C36" s="5" t="s">
        <v>496</v>
      </c>
      <c r="D36" s="4" t="s">
        <v>504</v>
      </c>
      <c r="E36" s="5" t="s">
        <v>505</v>
      </c>
      <c r="F36" s="5" t="s">
        <v>385</v>
      </c>
      <c r="G36" s="10" t="n">
        <v>3</v>
      </c>
      <c r="H36" s="11" t="str">
        <f aca="false">INDEX($B$57:$B$60,MATCH(G36,$A$57:$A$60,0))</f>
        <v>Fortement démontré</v>
      </c>
      <c r="I36" s="5" t="s">
        <v>506</v>
      </c>
      <c r="J36" s="5" t="s">
        <v>507</v>
      </c>
    </row>
    <row r="55" customFormat="false" ht="15" hidden="false" customHeight="false" outlineLevel="0" collapsed="false">
      <c r="A55" s="12" t="s">
        <v>508</v>
      </c>
    </row>
    <row r="56" customFormat="false" ht="31.5" hidden="false" customHeight="true" outlineLevel="0" collapsed="false">
      <c r="A56" s="3" t="s">
        <v>509</v>
      </c>
      <c r="B56" s="3" t="s">
        <v>510</v>
      </c>
      <c r="C56" s="3" t="s">
        <v>511</v>
      </c>
    </row>
    <row r="57" customFormat="false" ht="53.7" hidden="false" customHeight="false" outlineLevel="0" collapsed="false">
      <c r="A57" s="4" t="n">
        <v>0</v>
      </c>
      <c r="B57" s="5" t="s">
        <v>512</v>
      </c>
      <c r="C57" s="5" t="s">
        <v>513</v>
      </c>
    </row>
    <row r="58" customFormat="false" ht="43.25" hidden="false" customHeight="false" outlineLevel="0" collapsed="false">
      <c r="A58" s="4" t="n">
        <v>1</v>
      </c>
      <c r="B58" s="5" t="s">
        <v>514</v>
      </c>
      <c r="C58" s="5" t="s">
        <v>515</v>
      </c>
    </row>
    <row r="59" customFormat="false" ht="43.25" hidden="false" customHeight="false" outlineLevel="0" collapsed="false">
      <c r="A59" s="4" t="n">
        <v>2</v>
      </c>
      <c r="B59" s="5" t="s">
        <v>516</v>
      </c>
      <c r="C59" s="5" t="s">
        <v>517</v>
      </c>
    </row>
    <row r="60" customFormat="false" ht="32.8" hidden="false" customHeight="false" outlineLevel="0" collapsed="false">
      <c r="A60" s="4" t="n">
        <v>3</v>
      </c>
      <c r="B60" s="5" t="s">
        <v>518</v>
      </c>
      <c r="C60" s="5" t="s">
        <v>519</v>
      </c>
    </row>
    <row r="63" customFormat="false" ht="15" hidden="false" customHeight="false" outlineLevel="0" collapsed="false">
      <c r="A63" s="12" t="s">
        <v>520</v>
      </c>
    </row>
    <row r="64" customFormat="false" ht="15" hidden="false" customHeight="false" outlineLevel="0" collapsed="false">
      <c r="A64" s="8" t="s">
        <v>518</v>
      </c>
      <c r="B64" s="8" t="n">
        <f aca="false">COUNTIF($G$5:$G$36,3)</f>
        <v>6</v>
      </c>
      <c r="C64" s="13" t="n">
        <f aca="false">ROUND(B64/COUNTA($A$5:$A$36),3)</f>
        <v>0.188</v>
      </c>
    </row>
    <row r="65" customFormat="false" ht="15" hidden="false" customHeight="false" outlineLevel="0" collapsed="false">
      <c r="A65" s="8" t="s">
        <v>516</v>
      </c>
      <c r="B65" s="8" t="n">
        <f aca="false">COUNTIF($G$5:$G$36,2)</f>
        <v>14</v>
      </c>
      <c r="C65" s="13" t="n">
        <f aca="false">ROUND(B65/COUNTA($A$5:$A$36),3)</f>
        <v>0.438</v>
      </c>
    </row>
    <row r="66" customFormat="false" ht="15" hidden="false" customHeight="false" outlineLevel="0" collapsed="false">
      <c r="A66" s="8" t="s">
        <v>514</v>
      </c>
      <c r="B66" s="8" t="n">
        <f aca="false">COUNTIF($G$5:$G$36,1)</f>
        <v>10</v>
      </c>
      <c r="C66" s="13" t="n">
        <f aca="false">ROUND(B66/COUNTA($A$5:$A$36),3)</f>
        <v>0.313</v>
      </c>
    </row>
    <row r="67" customFormat="false" ht="15" hidden="false" customHeight="false" outlineLevel="0" collapsed="false">
      <c r="A67" s="8" t="s">
        <v>512</v>
      </c>
      <c r="B67" s="8" t="n">
        <f aca="false">COUNTIF($G$5:$G$36,0)</f>
        <v>2</v>
      </c>
      <c r="C67" s="13" t="n">
        <f aca="false">ROUND(B67/COUNTA($A$5:$A$36),3)</f>
        <v>0.063</v>
      </c>
    </row>
  </sheetData>
  <autoFilter ref="A4:J36"/>
  <conditionalFormatting sqref="G5:G36">
    <cfRule type="cellIs" priority="2" operator="equal" aboveAverage="0" equalAverage="0" bottom="0" percent="0" rank="0" text="" dxfId="6">
      <formula>3</formula>
    </cfRule>
    <cfRule type="cellIs" priority="3" operator="equal" aboveAverage="0" equalAverage="0" bottom="0" percent="0" rank="0" text="" dxfId="12">
      <formula>2</formula>
    </cfRule>
    <cfRule type="cellIs" priority="4" operator="equal" aboveAverage="0" equalAverage="0" bottom="0" percent="0" rank="0" text="" dxfId="13">
      <formula>1</formula>
    </cfRule>
    <cfRule type="cellIs" priority="5" operator="equal" aboveAverage="0" equalAverage="0" bottom="0" percent="0" rank="0" text="" dxfId="1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0"/>
  </cols>
  <sheetData>
    <row r="1" customFormat="false" ht="17.35" hidden="false" customHeight="false" outlineLevel="0" collapsed="false">
      <c r="A1" s="1" t="s">
        <v>521</v>
      </c>
    </row>
    <row r="3" customFormat="false" ht="31.5" hidden="false" customHeight="true" outlineLevel="0" collapsed="false">
      <c r="A3" s="3" t="s">
        <v>9</v>
      </c>
      <c r="B3" s="3" t="s">
        <v>522</v>
      </c>
    </row>
    <row r="4" customFormat="false" ht="15" hidden="false" customHeight="false" outlineLevel="0" collapsed="false">
      <c r="A4" s="4" t="s">
        <v>20</v>
      </c>
      <c r="B4" s="5" t="s">
        <v>523</v>
      </c>
    </row>
    <row r="5" customFormat="false" ht="15" hidden="false" customHeight="false" outlineLevel="0" collapsed="false">
      <c r="A5" s="4" t="s">
        <v>60</v>
      </c>
      <c r="B5" s="5" t="s">
        <v>524</v>
      </c>
    </row>
    <row r="6" customFormat="false" ht="15" hidden="false" customHeight="false" outlineLevel="0" collapsed="false">
      <c r="A6" s="4" t="s">
        <v>198</v>
      </c>
      <c r="B6" s="5" t="s">
        <v>525</v>
      </c>
    </row>
    <row r="9" customFormat="false" ht="31.5" hidden="false" customHeight="true" outlineLevel="0" collapsed="false">
      <c r="A9" s="3" t="s">
        <v>509</v>
      </c>
      <c r="B9" s="3" t="s">
        <v>510</v>
      </c>
      <c r="C9" s="3" t="s">
        <v>522</v>
      </c>
    </row>
    <row r="10" customFormat="false" ht="126.85" hidden="false" customHeight="false" outlineLevel="0" collapsed="false">
      <c r="A10" s="4" t="n">
        <v>3</v>
      </c>
      <c r="B10" s="5" t="s">
        <v>518</v>
      </c>
      <c r="C10" s="5" t="s">
        <v>519</v>
      </c>
    </row>
    <row r="11" customFormat="false" ht="168.65" hidden="false" customHeight="false" outlineLevel="0" collapsed="false">
      <c r="A11" s="4" t="n">
        <v>2</v>
      </c>
      <c r="B11" s="5" t="s">
        <v>516</v>
      </c>
      <c r="C11" s="5" t="s">
        <v>517</v>
      </c>
    </row>
    <row r="12" customFormat="false" ht="137.3" hidden="false" customHeight="false" outlineLevel="0" collapsed="false">
      <c r="A12" s="4" t="n">
        <v>1</v>
      </c>
      <c r="B12" s="5" t="s">
        <v>514</v>
      </c>
      <c r="C12" s="5" t="s">
        <v>515</v>
      </c>
    </row>
    <row r="13" customFormat="false" ht="210.4" hidden="false" customHeight="false" outlineLevel="0" collapsed="false">
      <c r="A13" s="4" t="n">
        <v>0</v>
      </c>
      <c r="B13" s="5" t="s">
        <v>512</v>
      </c>
      <c r="C13" s="5" t="s">
        <v>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2026-10-06T21:49:02Z</dcterms:created>
  <dc:creator>openpyxl</dc:creator>
  <dc:description/>
  <dc:language>en-US</dc:language>
  <cp:lastModifiedBy/>
  <dcterms:modified xsi:type="dcterms:W3CDTF">2026-10-06T21:49:02Z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