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T1_Perimetre" sheetId="2" state="visible" r:id="rId4"/>
    <sheet name="AT1_ValeursMetier" sheetId="3" state="visible" r:id="rId5"/>
    <sheet name="AT1_BiensSupports" sheetId="4" state="visible" r:id="rId6"/>
    <sheet name="AT1_EvenementsRedoutes" sheetId="5" state="visible" r:id="rId7"/>
    <sheet name="AT1_Socle" sheetId="6" state="visible" r:id="rId8"/>
    <sheet name="AT2_SourcesRisque" sheetId="7" state="visible" r:id="rId9"/>
    <sheet name="AT2_SR_OV" sheetId="8" state="visible" r:id="rId10"/>
    <sheet name="AT3_Ecosysteme" sheetId="9" state="visible" r:id="rId11"/>
    <sheet name="AT3_ScenariosStrat" sheetId="10" state="visible" r:id="rId12"/>
    <sheet name="AT4_Operationnels" sheetId="11" state="visible" r:id="rId13"/>
    <sheet name="Registre_Risques" sheetId="12" state="visible" r:id="rId14"/>
    <sheet name="AT5_Traitement" sheetId="13" state="visible" r:id="rId15"/>
    <sheet name="Echell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<sst xmlns="http://schemas.openxmlformats.org/spreadsheetml/2006/main" count="1184" uniqueCount="788">
  <si>
    <t xml:space="preserve">Livrable 2 - Dossier EBIOS Risk Manager : GitLab</t>
  </si>
  <si>
    <t xml:space="preserve">Évaluation externe sur sources publiques. Date limite des preuves : 2026-10-04. Les scores sont des jugements d'analyste, pas des données internes de GitLab.</t>
  </si>
  <si>
    <t xml:space="preserve">Objet</t>
  </si>
  <si>
    <t xml:space="preserve">Documents de travail EBIOS RM inspectables, à la base du rapport principal. Chaque onglet correspond à un livrable d'atelier.</t>
  </si>
  <si>
    <t xml:space="preserve">Onglets</t>
  </si>
  <si>
    <t xml:space="preserve">AT1 Périmètre, Valeurs métier, Biens supports, Événements redoutés, Socle | AT2 Sources de risque, couples SR/OV | AT3 Écosystème, Scénarios stratégiques | AT4 Scénarios opérationnels | Registre des risques | AT5 Traitement, Suivi | Échelles</t>
  </si>
  <si>
    <t xml:space="preserve">Formules actives</t>
  </si>
  <si>
    <t xml:space="preserve">Le score de risque, le niveau de priorité et le niveau de menace de l'écosystème sont des formules. Modifiez un impact/une vraisemblance (cellules de saisie grises) et tout se recalcule.</t>
  </si>
  <si>
    <t xml:space="preserve">Convention de cellules</t>
  </si>
  <si>
    <t xml:space="preserve">Chiffres en gras sur fond gris clair = saisie de jugement modifiable. Cellules simples = texte ou formules. Niveaux de priorité : Critique &gt;= 20, Élevé 15-19, Moyen 8-14, Faible &lt;= 7.</t>
  </si>
  <si>
    <t xml:space="preserve">Traçabilité</t>
  </si>
  <si>
    <t xml:space="preserve">Risque -&gt; Scénario stratégique (SS) -&gt; Scénario opérationnel (OS) -&gt; Événement redouté (ER) -&gt; Valeur métier (VM) -&gt; Exigence PSSI -&gt; Action de la feuille de route (A-xx) -&gt; Preuve (E-xx).</t>
  </si>
  <si>
    <t xml:space="preserve">Limite</t>
  </si>
  <si>
    <t xml:space="preserve">Ceci n'est ni un audit, ni un test d'intrusion, ni une évaluation de vulnérabilités. « Non vérifiable publiquement » ne signifie pas « absent ».</t>
  </si>
  <si>
    <t xml:space="preserve">Atelier 1 - Périmètre de l'étude</t>
  </si>
  <si>
    <t xml:space="preserve">Mission</t>
  </si>
  <si>
    <t xml:space="preserve">Fournir la plateforme d'orchestration intelligente pour le DevSecOps : gestion de code source, CI/CD, outils de sécurité et de conformité, et agents d'IA, livrée sous forme de GitLab.com (SaaS multi-tenant), GitLab Dedicated (SaaS mono-tenant) et logiciel auto-hébergé.</t>
  </si>
  <si>
    <t xml:space="preserve">Autorité de décision sur les risques (supposée)</t>
  </si>
  <si>
    <t xml:space="preserve">Responsable de la sécurité des systèmes d'information (RSSI, actuellement par intérim), sous la supervision du comité d'audit du conseil d'administration - décideurs supposés pour l'acceptation du risque dans cette étude.</t>
  </si>
  <si>
    <t xml:space="preserve">Dans le périmètre</t>
  </si>
  <si>
    <t xml:space="preserve">GitLab.com SaaS multi-tenant (plateforme de production, runners CI partagés, registres, fonctions d'IA).</t>
  </si>
  <si>
    <t xml:space="preserve">GitLab Dedicated, y compris le plan de contrôle Switchboard et les comptes AWS des tenants exploités par GitLab.</t>
  </si>
  <si>
    <t xml:space="preserve">Ingénierie produit et chaîne de livraison produisant le logiciel auto-hébergé et le code SaaS.</t>
  </si>
  <si>
    <t xml:space="preserve">Capacités d'IA (GitLab Duo / Duo Agent Platform) et dépendances envers les fournisseurs de modèles.</t>
  </si>
  <si>
    <t xml:space="preserve">Gouvernance de la sécurité, identité des collaborateurs et administration pouvant atteindre les éléments ci-dessus.</t>
  </si>
  <si>
    <t xml:space="preserve">Tiers et sous-traitants que GitLab déclare publiquement comme participant à la fourniture du service.</t>
  </si>
  <si>
    <t xml:space="preserve">Hors périmètre</t>
  </si>
  <si>
    <t xml:space="preserve">Instances auto-hébergées exploitées par les clients (responsabilité du client ; considérées uniquement comme effet d'écosystème).</t>
  </si>
  <si>
    <t xml:space="preserve">Dépôts, pipelines et configurations propres aux clients.</t>
  </si>
  <si>
    <t xml:space="preserve">Systèmes, configurations et personnels internes de GitLab (aucun accès interne ; sources publiques uniquement).</t>
  </si>
  <si>
    <t xml:space="preserve">JiHu (coentreprise chinoise, entité consolidée VIE) - citée comme entité de l'écosystème, non évaluée en profondeur.</t>
  </si>
  <si>
    <t xml:space="preserve">Tests techniques de toute nature (ni scan, ni test d'intrusion, ni exploitation).</t>
  </si>
  <si>
    <t xml:space="preserve">Atelier 1 - Valeurs métier</t>
  </si>
  <si>
    <t xml:space="preserve">ID</t>
  </si>
  <si>
    <t xml:space="preserve">Valeur métier</t>
  </si>
  <si>
    <t xml:space="preserve">Description</t>
  </si>
  <si>
    <t xml:space="preserve">Responsable (rôle supposé)</t>
  </si>
  <si>
    <t xml:space="preserve">Besoin de sécurité principal</t>
  </si>
  <si>
    <t xml:space="preserve">VM-01</t>
  </si>
  <si>
    <t xml:space="preserve">Fourniture du service SaaS GitLab.com</t>
  </si>
  <si>
    <t xml:space="preserve">Plateforme hébergée multi-tenant pour dépôts, CI/CD, registres et gestion de projet, utilisée par des millions d'utilisateurs ; SLA de disponibilité mensuelle de 99,9 %.</t>
  </si>
  <si>
    <t xml:space="preserve">VP Infrastructure / Plateformes SaaS</t>
  </si>
  <si>
    <t xml:space="preserve">Disponibilité, Intégrité</t>
  </si>
  <si>
    <t xml:space="preserve">VM-02</t>
  </si>
  <si>
    <t xml:space="preserve">Fourniture du service GitLab Dedicated</t>
  </si>
  <si>
    <t xml:space="preserve">SaaS mono-tenant pour clients régulés (dont Dedicated for Government), comptes AWS par tenant, plan de contrôle Switchboard.</t>
  </si>
  <si>
    <t xml:space="preserve">Ingénierie Dedicated</t>
  </si>
  <si>
    <t xml:space="preserve">Confidentialité, Intégrité, Disponibilité</t>
  </si>
  <si>
    <t xml:space="preserve">VM-03</t>
  </si>
  <si>
    <t xml:space="preserve">Ingénierie produit et chaîne de livraison</t>
  </si>
  <si>
    <t xml:space="preserve">Code source, infrastructure de build et de release, dépôts de paquets et éléments de signature produisant le logiciel GitLab pour le SaaS et l'auto-hébergé (open-core, milliers de contributeurs externes).</t>
  </si>
  <si>
    <t xml:space="preserve">VP Ingénierie / Sécurité produit</t>
  </si>
  <si>
    <t xml:space="preserve">Intégrité, Authenticité</t>
  </si>
  <si>
    <t xml:space="preserve">VM-04</t>
  </si>
  <si>
    <t xml:space="preserve">Contenus et secrets des clients</t>
  </si>
  <si>
    <t xml:space="preserve">Code source des clients, variables CI/CD, jetons d'accès, clés de déploiement, artefacts de conteneurs/paquets et données de projet hébergés par GitLab.</t>
  </si>
  <si>
    <t xml:space="preserve">Protection des données / Sécurité</t>
  </si>
  <si>
    <t xml:space="preserve">Confidentialité, Intégrité</t>
  </si>
  <si>
    <t xml:space="preserve">VM-05</t>
  </si>
  <si>
    <t xml:space="preserve">Capacités d'IA (Duo / Duo Agent Platform)</t>
  </si>
  <si>
    <t xml:space="preserve">Assistants et agents autonomes d'IA agissant sur le code et les pipelines des clients, dépendant de fournisseurs de modèles tiers.</t>
  </si>
  <si>
    <t xml:space="preserve">Ingénierie IA / Sécurité de l'IA</t>
  </si>
  <si>
    <t xml:space="preserve">Intégrité, Confidentialité</t>
  </si>
  <si>
    <t xml:space="preserve">VM-06</t>
  </si>
  <si>
    <t xml:space="preserve">Confiance, assurance et éligibilité aux marchés</t>
  </si>
  <si>
    <t xml:space="preserve">Certifications et attestations (SOC 2, ISO 27001/27017/27018/42001, FedRAMP), Trust Center, accès aux marchés publics et régulés.</t>
  </si>
  <si>
    <t xml:space="preserve">Assurance sécurité / Conformité</t>
  </si>
  <si>
    <t xml:space="preserve">Authenticité, Traçabilité</t>
  </si>
  <si>
    <t xml:space="preserve">VM-07</t>
  </si>
  <si>
    <t xml:space="preserve">Opérations de sécurité, identité des collaborateurs et administration</t>
  </si>
  <si>
    <t xml:space="preserve">Réponse aux incidents, gestion et divulgation des vulnérabilités, identité des collaborateurs, outils d'administration et de support pour ~2 600 personnes en télétravail complet, y compris du personnel PEO et prestataire.</t>
  </si>
  <si>
    <t xml:space="preserve">Opérations de sécurité / IT</t>
  </si>
  <si>
    <t xml:space="preserve">Atelier 1 - Biens supports</t>
  </si>
  <si>
    <t xml:space="preserve">Bien support</t>
  </si>
  <si>
    <t xml:space="preserve">Type</t>
  </si>
  <si>
    <t xml:space="preserve">Valeurs métier liées</t>
  </si>
  <si>
    <t xml:space="preserve">Preuves</t>
  </si>
  <si>
    <t xml:space="preserve">SA-01</t>
  </si>
  <si>
    <t xml:space="preserve">Application Rails de GitLab.com, API et couche web</t>
  </si>
  <si>
    <t xml:space="preserve">Logiciel / application</t>
  </si>
  <si>
    <t xml:space="preserve">VM-01, VM-04</t>
  </si>
  <si>
    <t xml:space="preserve">E-01, E-12</t>
  </si>
  <si>
    <t xml:space="preserve">SA-02</t>
  </si>
  <si>
    <t xml:space="preserve">Stockage des dépôts Gitaly et bases de données</t>
  </si>
  <si>
    <t xml:space="preserve">Données / stockage</t>
  </si>
  <si>
    <t xml:space="preserve">E-12, E-13</t>
  </si>
  <si>
    <t xml:space="preserve">SA-03</t>
  </si>
  <si>
    <t xml:space="preserve">Flottes de runners CI/CD partagés (runners hébergés par GitLab)</t>
  </si>
  <si>
    <t xml:space="preserve">Calcul / exécution</t>
  </si>
  <si>
    <t xml:space="preserve">E-02</t>
  </si>
  <si>
    <t xml:space="preserve">SA-04</t>
  </si>
  <si>
    <t xml:space="preserve">Registres de conteneurs et de paquets</t>
  </si>
  <si>
    <t xml:space="preserve">Logiciel / données</t>
  </si>
  <si>
    <t xml:space="preserve">VM-01, VM-03, VM-04</t>
  </si>
  <si>
    <t xml:space="preserve">E-01</t>
  </si>
  <si>
    <t xml:space="preserve">SA-05</t>
  </si>
  <si>
    <t xml:space="preserve">Organisation et projets Google Cloud (us-east1 / us-central1)</t>
  </si>
  <si>
    <t xml:space="preserve">Infrastructure cloud</t>
  </si>
  <si>
    <t xml:space="preserve">E-12, E-13, E-09</t>
  </si>
  <si>
    <t xml:space="preserve">SA-06</t>
  </si>
  <si>
    <t xml:space="preserve">Architecture Cells (évolution de GitLab.com en cellules)</t>
  </si>
  <si>
    <t xml:space="preserve">Architecture</t>
  </si>
  <si>
    <t xml:space="preserve">E-14</t>
  </si>
  <si>
    <t xml:space="preserve">SA-07</t>
  </si>
  <si>
    <t xml:space="preserve">Comptes AWS de tenants Dedicated et VPC isolés</t>
  </si>
  <si>
    <t xml:space="preserve">VM-02, VM-04</t>
  </si>
  <si>
    <t xml:space="preserve">E-10, E-11</t>
  </si>
  <si>
    <t xml:space="preserve">SA-08</t>
  </si>
  <si>
    <t xml:space="preserve">Plan de contrôle Switchboard et accès opérateurs Dedicated</t>
  </si>
  <si>
    <t xml:space="preserve">Plan de gestion</t>
  </si>
  <si>
    <t xml:space="preserve">E-10</t>
  </si>
  <si>
    <t xml:space="preserve">SA-09</t>
  </si>
  <si>
    <t xml:space="preserve">Dépôts sources du produit, pipelines CI, infrastructure de build et de signature</t>
  </si>
  <si>
    <t xml:space="preserve">Chaîne d'approvisionnement logicielle</t>
  </si>
  <si>
    <t xml:space="preserve">E-01, E-02</t>
  </si>
  <si>
    <t xml:space="preserve">SA-10</t>
  </si>
  <si>
    <t xml:space="preserve">Processus de contribution communautaire et dépendances tierces</t>
  </si>
  <si>
    <t xml:space="preserve">Processus / dépendance</t>
  </si>
  <si>
    <t xml:space="preserve">SA-11</t>
  </si>
  <si>
    <t xml:space="preserve">Dépôts clients, variables CI, jetons, clés de déploiement</t>
  </si>
  <si>
    <t xml:space="preserve">Données</t>
  </si>
  <si>
    <t xml:space="preserve">E-02, E-34</t>
  </si>
  <si>
    <t xml:space="preserve">SA-12</t>
  </si>
  <si>
    <t xml:space="preserve">Duo Agent Platform, passerelle IA, intégrations MCP, fournisseurs de modèles</t>
  </si>
  <si>
    <t xml:space="preserve">Logiciel / tiers</t>
  </si>
  <si>
    <t xml:space="preserve">E-01, E-02, E-09, E-27</t>
  </si>
  <si>
    <t xml:space="preserve">SA-13</t>
  </si>
  <si>
    <t xml:space="preserve">Trust Center, dépôt de preuves d'audit, GitLab Control Framework</t>
  </si>
  <si>
    <t xml:space="preserve">Information / processus</t>
  </si>
  <si>
    <t xml:space="preserve">E-05, E-06, E-36</t>
  </si>
  <si>
    <t xml:space="preserve">SA-14</t>
  </si>
  <si>
    <t xml:space="preserve">Fournisseur d'identité, SSO, postes de travail, consoles d'administration privilégiées</t>
  </si>
  <si>
    <t xml:space="preserve">Identité / poste</t>
  </si>
  <si>
    <t xml:space="preserve">VM-07, VM-01, VM-02</t>
  </si>
  <si>
    <t xml:space="preserve">E-16, E-17</t>
  </si>
  <si>
    <t xml:space="preserve">SA-15</t>
  </si>
  <si>
    <t xml:space="preserve">Outils de support (ticketing, chaînes d'analyse) et personnel de support externalisé</t>
  </si>
  <si>
    <t xml:space="preserve">Tiers / personnes</t>
  </si>
  <si>
    <t xml:space="preserve">VM-07, VM-04</t>
  </si>
  <si>
    <t xml:space="preserve">E-09</t>
  </si>
  <si>
    <t xml:space="preserve">SA-16</t>
  </si>
  <si>
    <t xml:space="preserve">Gestion des vulnérabilités, programme HackerOne, processus de publication de correctifs</t>
  </si>
  <si>
    <t xml:space="preserve">Processus</t>
  </si>
  <si>
    <t xml:space="preserve">VM-07, VM-03</t>
  </si>
  <si>
    <t xml:space="preserve">E-18, E-19</t>
  </si>
  <si>
    <t xml:space="preserve">SA-17</t>
  </si>
  <si>
    <t xml:space="preserve">Personnel PEO / prestataire et modèle de télétravail complet</t>
  </si>
  <si>
    <t xml:space="preserve">Personnes / organisation</t>
  </si>
  <si>
    <t xml:space="preserve">Atelier 1 - Événements redoutés</t>
  </si>
  <si>
    <t xml:space="preserve">La gravité utilise l'échelle 1-5 de l'onglet « Echelles ». La gravité est une saisie sur fond gris.</t>
  </si>
  <si>
    <t xml:space="preserve">Événement redouté</t>
  </si>
  <si>
    <t xml:space="preserve">Valeurs métier</t>
  </si>
  <si>
    <t xml:space="preserve">DIC</t>
  </si>
  <si>
    <t xml:space="preserve">Gravité (1-5)</t>
  </si>
  <si>
    <t xml:space="preserve">Niveau</t>
  </si>
  <si>
    <t xml:space="preserve">Justification</t>
  </si>
  <si>
    <t xml:space="preserve">ER-01</t>
  </si>
  <si>
    <t xml:space="preserve">Exfiltration à grande échelle de dépôts, jetons et secrets clients depuis GitLab.com</t>
  </si>
  <si>
    <t xml:space="preserve">C</t>
  </si>
  <si>
    <t xml:space="preserve">Le code source et les secrets CI de plus de 10 000 clients payants (dont plus de 50 % du Fortune 100) pourraient permettre la compromission en aval des clients ; notification de violation et exposition contractuelle.</t>
  </si>
  <si>
    <t xml:space="preserve">ER-02</t>
  </si>
  <si>
    <t xml:space="preserve">Modification malveillante du code produit, du build ou des artefacts de release de GitLab</t>
  </si>
  <si>
    <t xml:space="preserve">I</t>
  </si>
  <si>
    <t xml:space="preserve">Une release empoisonnée atteint le SaaS et chaque client auto-hébergé ; événement classique de chaîne d'approvisionnement logicielle à portée systémique.</t>
  </si>
  <si>
    <t xml:space="preserve">ER-03</t>
  </si>
  <si>
    <t xml:space="preserve">Indisponibilité prolongée de GitLab.com ou perte de données irrécupérable</t>
  </si>
  <si>
    <t xml:space="preserve">D</t>
  </si>
  <si>
    <t xml:space="preserve">Les pipelines de livraison des clients s'arrêtent ; crédits SLA, perte de clients, atteinte à la réputation. La reprise après perte régionale repose sur reconstruction et restauration.</t>
  </si>
  <si>
    <t xml:space="preserve">ER-04</t>
  </si>
  <si>
    <t xml:space="preserve">Compromission du plan de contrôle Dedicated ou de l'isolation des tenants</t>
  </si>
  <si>
    <t xml:space="preserve">C, I</t>
  </si>
  <si>
    <t xml:space="preserve">Les tenants régulés et gouvernementaux partagent un plan opérateur ; une compromission du plan de contrôle serait multi-tenant par construction.</t>
  </si>
  <si>
    <t xml:space="preserve">ER-05</t>
  </si>
  <si>
    <t xml:space="preserve">Fonction d'IA ou agent détourné pour fuiter des données ou injecter du code malveillant</t>
  </si>
  <si>
    <t xml:space="preserve">VM-05, VM-04</t>
  </si>
  <si>
    <t xml:space="preserve">Les agents agissent avec les privilèges de l'utilisateur sur du code privé ; l'injection de prompt peut en faire des canaux d'exfiltration ou de falsification de code.</t>
  </si>
  <si>
    <t xml:space="preserve">ER-06</t>
  </si>
  <si>
    <t xml:space="preserve">Perte ou expiration de certifications clés et de l'éligibilité aux marchés régulés</t>
  </si>
  <si>
    <t xml:space="preserve">Authenticité</t>
  </si>
  <si>
    <t xml:space="preserve">Des opinions d'audit avec réserves, une transition ISO manquée ou des difficultés FedRAMP bloqueraient les ventes publiques et régulées.</t>
  </si>
  <si>
    <t xml:space="preserve">ER-07</t>
  </si>
  <si>
    <t xml:space="preserve">Vulnérabilité critique du produit massivement exploitée avant que les clients puissent corriger</t>
  </si>
  <si>
    <t xml:space="preserve">VM-03, VM-07</t>
  </si>
  <si>
    <t xml:space="preserve">C, I, D</t>
  </si>
  <si>
    <t xml:space="preserve">Les parcs auto-hébergés sont exposés dans les heures suivant un correctif ; GitLab subit l'impact de réputation et de support même si l'instance est gérée par le client.</t>
  </si>
  <si>
    <t xml:space="preserve">ER-08</t>
  </si>
  <si>
    <t xml:space="preserve">Prise de contrôle d'identités privilégiées de collaborateurs ou d'administration</t>
  </si>
  <si>
    <t xml:space="preserve">L'identité privilégiée est le facilitateur commun de ER-01, ER-02 et ER-04.</t>
  </si>
  <si>
    <t xml:space="preserve">ER-09</t>
  </si>
  <si>
    <t xml:space="preserve">Runners CI partagés détournés pour un impact inter-tenants ou un abus massif de ressources</t>
  </si>
  <si>
    <t xml:space="preserve">C, D</t>
  </si>
  <si>
    <t xml:space="preserve">Le code des clients s'exécutant sur l'infrastructure de GitLab, une défaillance d'isolation a des conséquences inter-tenants.</t>
  </si>
  <si>
    <t xml:space="preserve">ER-10</t>
  </si>
  <si>
    <t xml:space="preserve">Divulgation involontaire d'informations sensibles via la transparence radicale</t>
  </si>
  <si>
    <t xml:space="preserve">Le handbook public, les trackers d'issues et la feuille de route ouverte peuvent fuiter des détails opérationnels sensibles ; le 10-K signale lui-même ce risque.</t>
  </si>
  <si>
    <t xml:space="preserve">Atelier 1 - Socle de sécurité</t>
  </si>
  <si>
    <t xml:space="preserve">Ce qui est démontré publiquement vs points de vigilance. L'absence de preuve publique n'est pas l'absence de mesure.</t>
  </si>
  <si>
    <t xml:space="preserve">Référentiel / ensemble de mesures</t>
  </si>
  <si>
    <t xml:space="preserve">État démontré publiquement</t>
  </si>
  <si>
    <t xml:space="preserve">Écart ou point de vigilance</t>
  </si>
  <si>
    <t xml:space="preserve">SOC 2 Type 2 (Sécurité, Confidentialité, Disponibilité) - GitLab.com et Dedicated</t>
  </si>
  <si>
    <t xml:space="preserve">En place ; rapports 2025 et lettre de continuité 2025-26 listés sur le Trust Center</t>
  </si>
  <si>
    <t xml:space="preserve">Les rapports sont soumis à NDA ; les exceptions éventuelles ne sont pas visibles de l'extérieur</t>
  </si>
  <si>
    <t xml:space="preserve">E-05</t>
  </si>
  <si>
    <t xml:space="preserve">ISO/IEC 27001 / 27017 / 27018 (sécurité du cloud et données personnelles dans le cloud)</t>
  </si>
  <si>
    <t xml:space="preserve">Certificat listé sur le Trust Center ; couvre GitLab.com et Dedicated</t>
  </si>
  <si>
    <t xml:space="preserve">D'anciennes pages publiques citent l'édition 2013 ; les certificats ISO 27001:2013 ont cessé d'être valides après l'échéance de transition du 31 oct. 2025 - les pages publiques devraient être rapprochées de l'édition 2022</t>
  </si>
  <si>
    <t xml:space="preserve">E-05, E-07, E-08</t>
  </si>
  <si>
    <t xml:space="preserve">ISO/IEC 42001:2023 (système de management de l'IA)</t>
  </si>
  <si>
    <t xml:space="preserve">Certification annoncée sur le Trust Center</t>
  </si>
  <si>
    <t xml:space="preserve">Périmètre (quelles fonctions d'IA) non détaillé publiquement</t>
  </si>
  <si>
    <t xml:space="preserve">E-05, E-06</t>
  </si>
  <si>
    <t xml:space="preserve">FedRAMP Moderate (Dedicated for Government) ; High en perspective</t>
  </si>
  <si>
    <t xml:space="preserve">Listé comme actuel / prévu dans le handbook</t>
  </si>
  <si>
    <t xml:space="preserve">Périmètre d'autorisation et résultats de surveillance continue non détaillés publiquement</t>
  </si>
  <si>
    <t xml:space="preserve">E-06, E-07</t>
  </si>
  <si>
    <t xml:space="preserve">GitLab Control Framework rapproché de SOC 2, ISO 27001, PCI, FedRAMP</t>
  </si>
  <si>
    <t xml:space="preserve">Décrit publiquement</t>
  </si>
  <si>
    <t xml:space="preserve">Résultats des tests de contrôles non publics</t>
  </si>
  <si>
    <t xml:space="preserve">E-36</t>
  </si>
  <si>
    <t xml:space="preserve">Politique de gestion des accès (moindre privilège, approbations, revues, retrait des droits, exceptions)</t>
  </si>
  <si>
    <t xml:space="preserve">Document contrôlé public avec références de contrôles de type NIST</t>
  </si>
  <si>
    <t xml:space="preserve">Fréquence des revues et indicateurs de couverture non publiés</t>
  </si>
  <si>
    <t xml:space="preserve">Divulgation des vulnérabilités (bug bounty HackerOne, security.txt, CVE avec CWE, correctifs mensuels + critiques)</t>
  </si>
  <si>
    <t xml:space="preserve">Documenté publiquement et visiblement en fonctionnement</t>
  </si>
  <si>
    <t xml:space="preserve">Délais de correction et taux d'adoption des correctifs par les clients non publiés</t>
  </si>
  <si>
    <t xml:space="preserve">E-18, E-19, E-22</t>
  </si>
  <si>
    <t xml:space="preserve">Engagement CISA Secure by Design (MFA, réduction des mots de passe par défaut, correctifs, politique de divulgation)</t>
  </si>
  <si>
    <t xml:space="preserve">Rapport d'avancement publié en juin 2025 ; déploiement du MFA par défaut annoncé comme à venir</t>
  </si>
  <si>
    <t xml:space="preserve">Achèvement du MFA par défaut non confirmé dans les sources examinées</t>
  </si>
  <si>
    <t xml:space="preserve">E-18</t>
  </si>
  <si>
    <t xml:space="preserve">Reprise après sinistre (Game Days trimestriels, sauvegardes multi-régions, tests de restauration quotidiens de la base, objectifs RTO/RPO)</t>
  </si>
  <si>
    <t xml:space="preserve">Politique publiée dans le handbook ; SLA Dedicated avec RTO/RPO</t>
  </si>
  <si>
    <t xml:space="preserve">Les documents de conception décrivent une exploitation GitLab.com mono-région et indiquent que la reprise régionale n'avait pas été validée de bout en bout lors de la rédaction ; état actuel inconnu</t>
  </si>
  <si>
    <t xml:space="preserve">E-12, E-13, E-14, E-15</t>
  </si>
  <si>
    <t xml:space="preserve">Gouvernance de la sécurité (programme piloté par le RSSI, plus de 120 praticiens, ERM piloté par l'Audit interne, supervision du comité d'audit)</t>
  </si>
  <si>
    <t xml:space="preserve">Publié dans l'Item 1C du 10-K</t>
  </si>
  <si>
    <t xml:space="preserve">Poste de RSSI laissé vacant le 26 févr. 2026 ; RSSI par intérim en place durant la recherche</t>
  </si>
  <si>
    <t xml:space="preserve">E-03, E-04</t>
  </si>
  <si>
    <t xml:space="preserve">Atelier 2 - Sources de risque</t>
  </si>
  <si>
    <t xml:space="preserve">Source de risque</t>
  </si>
  <si>
    <t xml:space="preserve">Motivation / objectif</t>
  </si>
  <si>
    <t xml:space="preserve">Ressources</t>
  </si>
  <si>
    <t xml:space="preserve">Activité / capacité</t>
  </si>
  <si>
    <t xml:space="preserve">Décision</t>
  </si>
  <si>
    <t xml:space="preserve">Justification (preuves publiques)</t>
  </si>
  <si>
    <t xml:space="preserve">SR-1</t>
  </si>
  <si>
    <t xml:space="preserve">Acteurs étatiques / menaces persistantes avancées (APT)</t>
  </si>
  <si>
    <t xml:space="preserve">Espionnage, pré-positionnement, accès au code de clients gouvernementaux et de défense</t>
  </si>
  <si>
    <t xml:space="preserve">Très élevées</t>
  </si>
  <si>
    <t xml:space="preserve">Très élevée</t>
  </si>
  <si>
    <t xml:space="preserve">Retenue</t>
  </si>
  <si>
    <t xml:space="preserve">GitLab héberge du code pour des clients du secteur public, proches de la défense et d'infrastructures critiques ; FedRAMP/Dedicated for Government signale cette clientèle.</t>
  </si>
  <si>
    <t xml:space="preserve">SR-2</t>
  </si>
  <si>
    <t xml:space="preserve">Cybercriminalité organisée (extorsion, vol d'identifiants et de secrets)</t>
  </si>
  <si>
    <t xml:space="preserve">Gain financier : rançon, revente de secrets/accès, cryptominage</t>
  </si>
  <si>
    <t xml:space="preserve">Élevées</t>
  </si>
  <si>
    <t xml:space="preserve">L'activité d'infostealers, le vol de session et la collecte de secrets exposés sont courants ; les secrets CI ont une forte valeur.</t>
  </si>
  <si>
    <t xml:space="preserve">SR-3</t>
  </si>
  <si>
    <t xml:space="preserve">Exploiteurs opportunistes de masse et opérateurs de botnets</t>
  </si>
  <si>
    <t xml:space="preserve">Gains rapides sur des vulnérabilités nouvellement divulguées</t>
  </si>
  <si>
    <t xml:space="preserve">Moyennes</t>
  </si>
  <si>
    <t xml:space="preserve">Exploitation observée dans les heures suivant la publication du correctif de septembre 2026 ; inscriptions KEV en 2024 et 2026.</t>
  </si>
  <si>
    <t xml:space="preserve">SR-4</t>
  </si>
  <si>
    <t xml:space="preserve">Interne malveillant ou contraint (salarié, prestataire, PEO ou personnel de support externalisé)</t>
  </si>
  <si>
    <t xml:space="preserve">Gain financier, rancœur, contrainte</t>
  </si>
  <si>
    <t xml:space="preserve">Moyenne</t>
  </si>
  <si>
    <t xml:space="preserve">Un personnel en télétravail engagé par embauche directe, PEO et prestataires élargit la surface d'action des internes.</t>
  </si>
  <si>
    <t xml:space="preserve">SR-5</t>
  </si>
  <si>
    <t xml:space="preserve">Contributeur open source malveillant / mainteneur compromis</t>
  </si>
  <si>
    <t xml:space="preserve">Insertion de porte dérobée, levier sur la chaîne d'approvisionnement</t>
  </si>
  <si>
    <t xml:space="preserve">Modèle open-core avec plus de 5 200 contributeurs ; le 10-K cite les attaques de chaîne d'approvisionnement via le code communautaire comme risque significatif.</t>
  </si>
  <si>
    <t xml:space="preserve">SR-6</t>
  </si>
  <si>
    <t xml:space="preserve">Hacktivistes</t>
  </si>
  <si>
    <t xml:space="preserve">Perturbation, publicité</t>
  </si>
  <si>
    <t xml:space="preserve">Faibles</t>
  </si>
  <si>
    <t xml:space="preserve">Retenue (faible)</t>
  </si>
  <si>
    <t xml:space="preserve">DDoS ou défiguration possibles ; capacité soutenue limitée.</t>
  </si>
  <si>
    <t xml:space="preserve">SR-7</t>
  </si>
  <si>
    <t xml:space="preserve">Utilisateurs malveillants de la plateforme (abus de l'offre gratuite et du calcul partagé)</t>
  </si>
  <si>
    <t xml:space="preserve">Calcul gratuit, anonymat, attaque latérale d'autres tenants</t>
  </si>
  <si>
    <t xml:space="preserve">Élevée</t>
  </si>
  <si>
    <t xml:space="preserve">Le code fourni par les clients s'exécute par conception sur l'infrastructure GitLab (10-K).</t>
  </si>
  <si>
    <t xml:space="preserve">SR-8</t>
  </si>
  <si>
    <t xml:space="preserve">Adversaires assistés par IA / acteurs d'injection de prompt</t>
  </si>
  <si>
    <t xml:space="preserve">Vol de données et manipulation de code via les agents d'IA</t>
  </si>
  <si>
    <t xml:space="preserve">Des recherches documentées montrent une injection de prompt indirecte contre Duo ; le 10-K cite des vecteurs d'attaque propres à l'IA.</t>
  </si>
  <si>
    <t xml:space="preserve">SR-9</t>
  </si>
  <si>
    <t xml:space="preserve">Concurrents et renseignement économique hostile</t>
  </si>
  <si>
    <t xml:space="preserve">Intelligence économique</t>
  </si>
  <si>
    <t xml:space="preserve">Faible</t>
  </si>
  <si>
    <t xml:space="preserve">Non retenue</t>
  </si>
  <si>
    <t xml:space="preserve">La culture publique par défaut réduit la valeur additionnelle d'un vol discret ; couvert par SR-1/ER-10 le cas échéant.</t>
  </si>
  <si>
    <t xml:space="preserve">Atelier 2 - Couples source de risque / objectif visé</t>
  </si>
  <si>
    <t xml:space="preserve">Pertinence 1 (faible) - 4 (très élevée). Les couples de pertinence &gt;= 2 sont retenus pour l'atelier 3.</t>
  </si>
  <si>
    <t xml:space="preserve">Couple</t>
  </si>
  <si>
    <t xml:space="preserve">Objectif visé (OV)</t>
  </si>
  <si>
    <t xml:space="preserve">Événements redoutés liés</t>
  </si>
  <si>
    <t xml:space="preserve">Pertinence (1-4)</t>
  </si>
  <si>
    <t xml:space="preserve">Retenu</t>
  </si>
  <si>
    <t xml:space="preserve">C-01</t>
  </si>
  <si>
    <t xml:space="preserve">Voler code source, secrets et architectures de clients à forte valeur via GitLab.com</t>
  </si>
  <si>
    <t xml:space="preserve">ER-01, ER-08</t>
  </si>
  <si>
    <t xml:space="preserve">C-02</t>
  </si>
  <si>
    <t xml:space="preserve">Extorquer ou monétiser des secrets et accès volés en compromettant des identités privilégiées</t>
  </si>
  <si>
    <t xml:space="preserve">ER-08, ER-01</t>
  </si>
  <si>
    <t xml:space="preserve">C-03</t>
  </si>
  <si>
    <t xml:space="preserve">Insérer une porte dérobée dans le produit ou la chaîne de release de GitLab pour un accès en aval</t>
  </si>
  <si>
    <t xml:space="preserve">C-04</t>
  </si>
  <si>
    <t xml:space="preserve">Se pré-positionner dans la chaîne de build et de release de GitLab pour de futures opérations de chaîne d'approvisionnement</t>
  </si>
  <si>
    <t xml:space="preserve">C-05</t>
  </si>
  <si>
    <t xml:space="preserve">Exploiter en masse les vulnérabilités produit nouvellement divulguées (auto-hébergé et SaaS)</t>
  </si>
  <si>
    <t xml:space="preserve">ER-07, ER-01</t>
  </si>
  <si>
    <t xml:space="preserve">C-06</t>
  </si>
  <si>
    <t xml:space="preserve">Exfiltrer du code privé ou manipuler du code via les assistants et agents d'IA</t>
  </si>
  <si>
    <t xml:space="preserve">C-07</t>
  </si>
  <si>
    <t xml:space="preserve">Détourner les runners partagés pour voler des ressources ou s'évader vers d'autres tenants</t>
  </si>
  <si>
    <t xml:space="preserve">C-08</t>
  </si>
  <si>
    <t xml:space="preserve">Détourner un accès administratif ou de support légitime pour vol ou sabotage</t>
  </si>
  <si>
    <t xml:space="preserve">C-09</t>
  </si>
  <si>
    <t xml:space="preserve">Perturber la disponibilité de GitLab.com à des fins de publicité</t>
  </si>
  <si>
    <t xml:space="preserve">C-10</t>
  </si>
  <si>
    <t xml:space="preserve">Détruire ou chiffrer des données de production à des fins d'extorsion</t>
  </si>
  <si>
    <t xml:space="preserve">C-11</t>
  </si>
  <si>
    <t xml:space="preserve">Compromettre le plan de contrôle Dedicated pour atteindre des tenants régulés</t>
  </si>
  <si>
    <t xml:space="preserve">C-12</t>
  </si>
  <si>
    <t xml:space="preserve">Intelligence économique sur les feuilles de route internes</t>
  </si>
  <si>
    <t xml:space="preserve">Atelier 3 - Cartographie de l'écosystème</t>
  </si>
  <si>
    <t xml:space="preserve">Niveau de menace = (Dépendance x Pénétration) / (Maturité x Confiance), chacun noté 1-4. Critique &gt;= 2,0 ; Élevé 1,0-1,99 ; Moyen 0,5-0,99 ; Faible &lt; 0,5.</t>
  </si>
  <si>
    <t xml:space="preserve">Partie prenante</t>
  </si>
  <si>
    <t xml:space="preserve">Catégorie</t>
  </si>
  <si>
    <t xml:space="preserve">Dépendance</t>
  </si>
  <si>
    <t xml:space="preserve">Pénétration</t>
  </si>
  <si>
    <t xml:space="preserve">Maturité cyber</t>
  </si>
  <si>
    <t xml:space="preserve">Confiance</t>
  </si>
  <si>
    <t xml:space="preserve">Niveau de menace</t>
  </si>
  <si>
    <t xml:space="preserve">Commentaire</t>
  </si>
  <si>
    <t xml:space="preserve">Dépendances open source et contributeurs externes</t>
  </si>
  <si>
    <t xml:space="preserve">Communauté / chaîne d'approvisionnement</t>
  </si>
  <si>
    <t xml:space="preserve">Surface de contributeurs et de dépendances vaste et peu gouvernée alimentant le produit (10-K : plus de 5 200 contributeurs ; risque de chaîne d'approvisionnement open source cité).</t>
  </si>
  <si>
    <t xml:space="preserve">Clients et utilisateurs de l'offre gratuite (tenants, intégrations, runners personnalisés)</t>
  </si>
  <si>
    <t xml:space="preserve">Clients / utilisateurs</t>
  </si>
  <si>
    <t xml:space="preserve">Exécutent du code arbitraire sur l'infrastructure de GitLab ; la confiance est structurellement faible.</t>
  </si>
  <si>
    <t xml:space="preserve">SaaS d'entreprise et fournisseurs d'identité (IdP, postes, collaboration)</t>
  </si>
  <si>
    <t xml:space="preserve">Prestataires de services critiques</t>
  </si>
  <si>
    <t xml:space="preserve">Non détaillés publiquement ; supposés détenir les clés de l'identité des collaborateurs.</t>
  </si>
  <si>
    <t xml:space="preserve">Fournisseurs de modèles d'IA et partenaires de passerelle IA</t>
  </si>
  <si>
    <t xml:space="preserve">Le 10-K et la liste des sous-traitants montrent une dépendance à des modèles tiers (p. ex. Google, AWS, OpenAI) ; risque de concentration et de changement de conditions.</t>
  </si>
  <si>
    <t xml:space="preserve">PEO, prestataires et personnel en télétravail</t>
  </si>
  <si>
    <t xml:space="preserve">Personnes / effectif</t>
  </si>
  <si>
    <t xml:space="preserve">Modèles d'employeur de référence et de prestation dans de nombreuses juridictions ; visibilité inégale des mesures.</t>
  </si>
  <si>
    <t xml:space="preserve">Google Cloud (hébergement de GitLab.com)</t>
  </si>
  <si>
    <t xml:space="preserve">Hyperscaler</t>
  </si>
  <si>
    <t xml:space="preserve">GitLab.com s'exécute dans GCP us-east1 sur plusieurs zones de disponibilité ; dépendance infrastructurelle profonde.</t>
  </si>
  <si>
    <t xml:space="preserve">Amazon Web Services (hébergement de Dedicated)</t>
  </si>
  <si>
    <t xml:space="preserve">Comptes AWS par tenant sous une organisation mère GitLab ; Switchboard les pilote.</t>
  </si>
  <si>
    <t xml:space="preserve">Sous-traitants de support et de processus métier (p. ex. ticketing, recherche, analytique, support externalisé)</t>
  </si>
  <si>
    <t xml:space="preserve">Sous-traitants</t>
  </si>
  <si>
    <t xml:space="preserve">La liste publique de sous-traitants inclut des fournisseurs de ticketing, recherche, chaînes de données et support externalisé.</t>
  </si>
  <si>
    <t xml:space="preserve">JiHu (coentreprise chinoise, entité consolidée VIE)</t>
  </si>
  <si>
    <t xml:space="preserve">Affilié</t>
  </si>
  <si>
    <t xml:space="preserve">Mentionnée dans le 10-K ; détails de la relation non publics - notation à faible confiance.</t>
  </si>
  <si>
    <t xml:space="preserve">Partenaires, revendeurs et intégrateurs</t>
  </si>
  <si>
    <t xml:space="preserve">Partenaires</t>
  </si>
  <si>
    <t xml:space="preserve">Canal de vente et de livraison ; accès technique limité.</t>
  </si>
  <si>
    <t xml:space="preserve">Chercheurs en sécurité et plateforme de bug bounty</t>
  </si>
  <si>
    <t xml:space="preserve">Communauté / assurance</t>
  </si>
  <si>
    <t xml:space="preserve">Relation bénéfique ; incluse par exhaustivité (HackerOne).</t>
  </si>
  <si>
    <t xml:space="preserve">Atelier 3 - Scénarios stratégiques</t>
  </si>
  <si>
    <t xml:space="preserve">Gravité = gravité du pire événement redouté atteint (1-5).</t>
  </si>
  <si>
    <t xml:space="preserve">Scénario stratégique</t>
  </si>
  <si>
    <t xml:space="preserve">Couples SR/OV</t>
  </si>
  <si>
    <t xml:space="preserve">Événements redoutés</t>
  </si>
  <si>
    <t xml:space="preserve">Chemin dans l'écosystème</t>
  </si>
  <si>
    <t xml:space="preserve">Gravité</t>
  </si>
  <si>
    <t xml:space="preserve">Description du chemin</t>
  </si>
  <si>
    <t xml:space="preserve">SS-01</t>
  </si>
  <si>
    <t xml:space="preserve">Compromission d'identité privilégiée conduisant à un accès de production et à une exfiltration massive</t>
  </si>
  <si>
    <t xml:space="preserve">C-01, C-02</t>
  </si>
  <si>
    <t xml:space="preserve">SaaS d'entreprise et fournisseurs d'identité ; postes d'un personnel en télétravail</t>
  </si>
  <si>
    <t xml:space="preserve">L'adversaire vole les identifiants ou sessions d'un ingénieur/opérateur privilégié (infostealer, hameçonnage, vol de jeton) et utilise les consoles de production ou cloud pour extraire des données de tenants.</t>
  </si>
  <si>
    <t xml:space="preserve">SS-02</t>
  </si>
  <si>
    <t xml:space="preserve">Compromission de la chaîne d'approvisionnement logicielle du produit GitLab</t>
  </si>
  <si>
    <t xml:space="preserve">C-03, C-04</t>
  </si>
  <si>
    <t xml:space="preserve">Contributeurs et dépendances open source ; outillage de build/release</t>
  </si>
  <si>
    <t xml:space="preserve">L'adversaire subvertit un mainteneur, une dépendance ou une étape de build de sorte qu'une modification malveillante soit livrée au SaaS et aux clients auto-hébergés.</t>
  </si>
  <si>
    <t xml:space="preserve">SS-03</t>
  </si>
  <si>
    <t xml:space="preserve">Exploitation d'une vulnérabilité produit critique (zero-day ou N-day)</t>
  </si>
  <si>
    <t xml:space="preserve">ER-01, ER-07</t>
  </si>
  <si>
    <t xml:space="preserve">Parcs auto-hébergés des clients ; fenêtre de correction de GitLab.com</t>
  </si>
  <si>
    <t xml:space="preserve">Une faille pré-authentification (p. ex. traversée de chemin ou désérialisation) est instrumentalisée à partir du différentiel de correctif ; le SaaS est corrigé en premier mais les clients auto-hébergés restent exposés.</t>
  </si>
  <si>
    <t xml:space="preserve">SS-04</t>
  </si>
  <si>
    <t xml:space="preserve">Une compromission ou panne d'un cloud ou sous-traitant se propage aux services GitLab</t>
  </si>
  <si>
    <t xml:space="preserve">ER-03, ER-01</t>
  </si>
  <si>
    <t xml:space="preserve">Google Cloud, AWS, fournisseurs d'IA, sous-traitants de support</t>
  </si>
  <si>
    <t xml:space="preserve">Une défaillance ou violation chez un fournisseur critique se propage à GitLab.com, Dedicated ou aux fonctions d'IA.</t>
  </si>
  <si>
    <t xml:space="preserve">SS-05</t>
  </si>
  <si>
    <t xml:space="preserve">Détournement d'agents d'IA par injection de prompt indirecte ou jetons sur-dimensionnés</t>
  </si>
  <si>
    <t xml:space="preserve">Fournisseurs de modèles d'IA ; contenus clients traités par les agents</t>
  </si>
  <si>
    <t xml:space="preserve">Des instructions cachées dans des issues, merge requests ou du code orientent Duo/les agents vers la fuite de données privées ou l'altération de code ; les jetons MCP/agent dépassent leur périmètre prévu.</t>
  </si>
  <si>
    <t xml:space="preserve">SS-06</t>
  </si>
  <si>
    <t xml:space="preserve">Compromission du plan de contrôle Dedicated</t>
  </si>
  <si>
    <t xml:space="preserve">AWS ; opérateurs Switchboard</t>
  </si>
  <si>
    <t xml:space="preserve">Des identifiants d'opérateur ou une faille du plan de gestion donnent accès à plusieurs environnements mono-tenant.</t>
  </si>
  <si>
    <t xml:space="preserve">SS-07</t>
  </si>
  <si>
    <t xml:space="preserve">Attaque destructrice, DDoS ou défaillance régionale avec reprise lente</t>
  </si>
  <si>
    <t xml:space="preserve">C-09, C-10</t>
  </si>
  <si>
    <t xml:space="preserve">Google Cloud ; infrastructures DDoS</t>
  </si>
  <si>
    <t xml:space="preserve">Panne prolongée ou perte de données car la reprise régionale n'est que partiellement validée de bout en bout.</t>
  </si>
  <si>
    <t xml:space="preserve">SS-08</t>
  </si>
  <si>
    <t xml:space="preserve">Usage abusif d'un accès administratif ou de support par un interne</t>
  </si>
  <si>
    <t xml:space="preserve">PEO, prestataires, support externalisé</t>
  </si>
  <si>
    <t xml:space="preserve">Une personne de confiance abuse de son accès légitime.</t>
  </si>
  <si>
    <t xml:space="preserve">SS-09</t>
  </si>
  <si>
    <t xml:space="preserve">Abus de runners partagés et évasion entre tenants</t>
  </si>
  <si>
    <t xml:space="preserve">Clients et utilisateurs de l'offre gratuite</t>
  </si>
  <si>
    <t xml:space="preserve">Des jobs de pipeline malveillants tentent évasion, capture de secrets ou détournement de ressources.</t>
  </si>
  <si>
    <t xml:space="preserve">SS-10</t>
  </si>
  <si>
    <t xml:space="preserve">Défaut de continuité de gouvernance affaiblissant l'assurance et la certification</t>
  </si>
  <si>
    <t xml:space="preserve">-</t>
  </si>
  <si>
    <t xml:space="preserve">Auditeurs ; organismes de certification</t>
  </si>
  <si>
    <t xml:space="preserve">Transition de direction et croissance rapide pèsent sur le fonctionnement des mesures, les transitions de normes et la production de preuves (scénario indirect, hors attaque).</t>
  </si>
  <si>
    <t xml:space="preserve">SS-11</t>
  </si>
  <si>
    <t xml:space="preserve">Reconnaissance et fuite via handbook, issues et feuille de route publics</t>
  </si>
  <si>
    <t xml:space="preserve">Communauté publique ; concurrents</t>
  </si>
  <si>
    <t xml:space="preserve">Un contenu public par défaut expose involontairement des détails opérationnels ou de sécurité utiles aux attaquants.</t>
  </si>
  <si>
    <t xml:space="preserve">Atelier 4 - Scénarios opérationnels (chemins d'attaque EBIOS « Connaître / Rentrer / Trouver / Exploiter »)</t>
  </si>
  <si>
    <t xml:space="preserve">Les références ATT&amp;CK sont indicatives. La vraisemblance est une saisie sur fond gris et alimente le registre des risques.</t>
  </si>
  <si>
    <t xml:space="preserve">OS</t>
  </si>
  <si>
    <t xml:space="preserve">SS</t>
  </si>
  <si>
    <t xml:space="preserve">Scénario</t>
  </si>
  <si>
    <t xml:space="preserve">Risque</t>
  </si>
  <si>
    <t xml:space="preserve">Vraisemblance (1-5)</t>
  </si>
  <si>
    <t xml:space="preserve">Phase</t>
  </si>
  <si>
    <t xml:space="preserve">Étape d'attaque</t>
  </si>
  <si>
    <t xml:space="preserve">Technique ATT&amp;CK</t>
  </si>
  <si>
    <t xml:space="preserve">Mesures publiques observées</t>
  </si>
  <si>
    <t xml:space="preserve">Faiblesse / point de vigilance</t>
  </si>
  <si>
    <t xml:space="preserve">OS-01</t>
  </si>
  <si>
    <t xml:space="preserve">Le vol de session d'un ingénieur privilégié conduit à l'extraction de données de production</t>
  </si>
  <si>
    <t xml:space="preserve">R-01</t>
  </si>
  <si>
    <t xml:space="preserve">Connaître</t>
  </si>
  <si>
    <t xml:space="preserve">Profiler les ingénieurs et opérateurs via le handbook public, les offres d'emploi, les réseaux sociaux et l'activité open source.</t>
  </si>
  <si>
    <t xml:space="preserve">T1591 Gather Victim Org Information</t>
  </si>
  <si>
    <t xml:space="preserve">Politique d'accès au moindre privilège avec approbations, revues et retrait des droits (E-16, E-17) ; assurance SOC 2 / ISO 27001 (E-05) ; équipe de sécurité de plus de 120 personnes et supervision du comité d'audit (E-03).</t>
  </si>
  <si>
    <t xml:space="preserve">La protection des sessions privilégiées (MFA résistant à l'hameçonnage, liaison à l'appareil, durée de jeton courte) et l'élévation juste-à-temps ne sont pas démontrées publiquement. Des données de notation externe signalent des détections d'infostealers sur des systèmes associés à l'organisation (E-29, indicateur seulement).</t>
  </si>
  <si>
    <t xml:space="preserve">Rentrer</t>
  </si>
  <si>
    <t xml:space="preserve">Un infostealer ou un hameçonnage fournit identifiants et cookies de session actifs depuis un poste distant.</t>
  </si>
  <si>
    <t xml:space="preserve">T1566 Phishing / T1539 Steal Web Session Cookie</t>
  </si>
  <si>
    <t xml:space="preserve">Trouver</t>
  </si>
  <si>
    <t xml:space="preserve">Utiliser l'identité volée pour atteindre le SSO, les consoles cloud, bastions ou outils d'administration ; énumérer les accès de production et les secrets.</t>
  </si>
  <si>
    <t xml:space="preserve">T1078 Valid Accounts / T1552 Unsecured Credentials</t>
  </si>
  <si>
    <t xml:space="preserve">Exploiter</t>
  </si>
  <si>
    <t xml:space="preserve">Copier dépôts, variables CI ou instantanés de base vers un stockage contrôlé par l'attaquant ; éventuellement installer de la persistance.</t>
  </si>
  <si>
    <t xml:space="preserve">T1213 Data from Information Repositories / T1567 Exfiltration over Web Service</t>
  </si>
  <si>
    <t xml:space="preserve">OS-02</t>
  </si>
  <si>
    <t xml:space="preserve">Un mainteneur ou une dépendance compromis empoisonne la chaîne de release</t>
  </si>
  <si>
    <t xml:space="preserve">R-03</t>
  </si>
  <si>
    <t xml:space="preserve">Identifier les mainteneurs, l'outillage de build et le rythme de release (open-core, releases mensuelles, feuille de route publique).</t>
  </si>
  <si>
    <t xml:space="preserve">T1592 Gather Victim Host Information</t>
  </si>
  <si>
    <t xml:space="preserve">Revue de code et transparence open source ; programme HackerOne (E-18) ; rythme de releases mensuelles avec correctifs de sécurité (E-01, E-19).</t>
  </si>
  <si>
    <t xml:space="preserve">La provenance, la signature, les builds hermétiques et l'approbation de release à deux personnes ne sont pas documentées publiquement dans les sources examinées. Le 10-K cite les attaques de chaîne d'approvisionnement via le code communautaire comme risque significatif (E-02).</t>
  </si>
  <si>
    <t xml:space="preserve">Prendre le contrôle d'un compte de contributeur/mainteneur ou publier une version malveillante d'une dépendance ; soumettre une modification qui passe la revue.</t>
  </si>
  <si>
    <t xml:space="preserve">T1195.002 Compromise Software Supply Chain / T1078 Valid Accounts</t>
  </si>
  <si>
    <t xml:space="preserve">Localiser les runners de build, clés de signature ou identifiants de publication de paquets.</t>
  </si>
  <si>
    <t xml:space="preserve">T1552 Unsecured Credentials</t>
  </si>
  <si>
    <t xml:space="preserve">Injecter du code dans un artefact de release ou un paquet ; livrer au SaaS et aux clients auto-hébergés.</t>
  </si>
  <si>
    <t xml:space="preserve">T1195 Supply Chain Compromise</t>
  </si>
  <si>
    <t xml:space="preserve">OS-03</t>
  </si>
  <si>
    <t xml:space="preserve">Une vulnérabilité pré-authentification est instrumentalisée dans les heures suivant la publication du correctif</t>
  </si>
  <si>
    <t xml:space="preserve">R-02</t>
  </si>
  <si>
    <t xml:space="preserve">Surveiller les releases de correctifs de GitLab et les différentiels de dépôt public pour repérer les correctifs de sécurité.</t>
  </si>
  <si>
    <t xml:space="preserve">T1588.006 Obtain Capabilities: Vulnerabilities</t>
  </si>
  <si>
    <t xml:space="preserve">GitLab.com corrigé au moment de la release (E-22) ; divulgation coordonnée, CVE avec CWE et releases de correctifs critiques (E-18, E-19) ; rétroportage vers d'anciennes branches (E-25).</t>
  </si>
  <si>
    <t xml:space="preserve">Failles critiques récurrentes : CVE-2023-7028 (KEV, 2024) et CVE-2026-85706 (CVSS 10, KEV, sept. 2026, exploitée en quelques jours), plus d'autres correctifs RCE critiques le 23 sept. 2026 (E-20, E-22, E-23, E-24, E-26). L'adoption des correctifs par les clients échappe au contrôle de GitLab (E-21).</t>
  </si>
  <si>
    <t xml:space="preserve">Rétro-concevoir le correctif et scanner Internet à la recherche d'instances non corrigées ou sonder les frontaux SaaS.</t>
  </si>
  <si>
    <t xml:space="preserve">T1190 Exploit Public-Facing Application</t>
  </si>
  <si>
    <t xml:space="preserve">Lire fichiers de configuration, paramètres SSH et identifiants sur le serveur.</t>
  </si>
  <si>
    <t xml:space="preserve">Réutiliser les secrets collectés pour pivoter vers le code source, la CI et les environnements en aval.</t>
  </si>
  <si>
    <t xml:space="preserve">T1078 Valid Accounts / T1213 Data from Information Repositories</t>
  </si>
  <si>
    <t xml:space="preserve">OS-04</t>
  </si>
  <si>
    <t xml:space="preserve">L'injection de prompt indirecte oriente Duo ou un agent vers l'exfiltration de code privé</t>
  </si>
  <si>
    <t xml:space="preserve">R-06</t>
  </si>
  <si>
    <t xml:space="preserve">Étudier le comportement des fonctions d'IA, le contexte accessible (issues, merge requests, code) et les permissions d'outils des agents.</t>
  </si>
  <si>
    <t xml:space="preserve">Certification ISO 42001 (E-05) ; AI Transparency Center (E-05) ; fournisseur de protection contre l'injection de prompt listé comme sous-traitant (E-09) ; corrections de failles Duo signalées (E-27).</t>
  </si>
  <si>
    <t xml:space="preserve">Une recherche indépendante a démontré l'exfiltration de code privé (E-27) ; les correctifs de septembre 2026 incluent une désérialisation CVSS 9,9 atteignable via l'accès à Duo Chat et une faille d'application du périmètre des jetons MCP (E-23, E-26). L'autonomie croissante des agents étend la surface (E-01).</t>
  </si>
  <si>
    <t xml:space="preserve">Placer des instructions cachées dans un projet public, un commentaire ou une merge request que l'assistant de la victime lira.</t>
  </si>
  <si>
    <t xml:space="preserve">T1565 Data Manipulation / T1204 User Execution</t>
  </si>
  <si>
    <t xml:space="preserve">L'agent suit les instructions injectées avec les privilèges de la victime et atteint dépôts privés ou jetons.</t>
  </si>
  <si>
    <t xml:space="preserve">T1213 Data from Information Repositories</t>
  </si>
  <si>
    <t xml:space="preserve">Un canal de sortie (balisage, liens, appels) fuite du code ou des secrets ; ou l'agent propose/valide du code malveillant.</t>
  </si>
  <si>
    <t xml:space="preserve">T1567 Exfiltration over Web Service</t>
  </si>
  <si>
    <t xml:space="preserve">OS-05</t>
  </si>
  <si>
    <t xml:space="preserve">Des identifiants d'opérateur ou une faille du plan de contrôle donnent une portée multi-tenant dans Dedicated</t>
  </si>
  <si>
    <t xml:space="preserve">R-07</t>
  </si>
  <si>
    <t xml:space="preserve">Étudier l'architecture publique de Dedicated (Switchboard, comptes AWS de tenants, organisation mère).</t>
  </si>
  <si>
    <t xml:space="preserve">T1590 Gather Victim Network Information</t>
  </si>
  <si>
    <t xml:space="preserve">Isolation mono-tenant, comptes AWS et VPC par tenant, reprise Geo, PrivateLink optionnel (E-10, E-11) ; SOC 2 et FedRAMP Moderate pour Government (E-05, E-06).</t>
  </si>
  <si>
    <t xml:space="preserve">Le durcissement du plan de contrôle, les limites de rayon d'impact entre tenants et le modèle d'accès des opérateurs ne sont pas détaillés publiquement.</t>
  </si>
  <si>
    <t xml:space="preserve">Compromettre une identité d'opérateur ou exploiter le plan de gestion.</t>
  </si>
  <si>
    <t xml:space="preserve">T1078 Valid Accounts / T1190 Exploit Public-Facing Application</t>
  </si>
  <si>
    <t xml:space="preserve">Énumérer les comptes de tenants sous l'organisation mère ; assumer des rôles.</t>
  </si>
  <si>
    <t xml:space="preserve">T1199 Trusted Relationship</t>
  </si>
  <si>
    <t xml:space="preserve">Lire ou modifier données et configuration des tenants ; perturber la reprise (secondaire Geo).</t>
  </si>
  <si>
    <t xml:space="preserve">T1530 Data from Cloud Storage / T1485 Data Destruction</t>
  </si>
  <si>
    <t xml:space="preserve">OS-06</t>
  </si>
  <si>
    <t xml:space="preserve">Une perte régionale ou une attaque destructrice rencontre une reprise régionale non validée</t>
  </si>
  <si>
    <t xml:space="preserve">R-05</t>
  </si>
  <si>
    <t xml:space="preserve">Identifier l'empreinte mono-région (us-east1) et les dépendances.</t>
  </si>
  <si>
    <t xml:space="preserve">Game Days trimestriels, sauvegardes multi-régions et tests de restauration quotidiens de la base (E-12) ; SLA Dedicated avec RTO/RPO (E-15) ; travaux d'architecture Cells (E-14).</t>
  </si>
  <si>
    <t xml:space="preserve">Les documents de conception notent une exploitation mono-région et que la reprise régionale n'avait pas été validée de bout en bout lors de la rédaction (E-13). L'état actuel et l'immutabilité des sauvegardes ne sont pas indiqués publiquement.</t>
  </si>
  <si>
    <t xml:space="preserve">DDoS ou accès aux identités de sauvegarde/restauration ; ou événement de région cloud supprimant la capacité primaire.</t>
  </si>
  <si>
    <t xml:space="preserve">T1498 Network Denial of Service / T1078 Valid Accounts</t>
  </si>
  <si>
    <t xml:space="preserve">Localiser les stockages de sauvegarde et l'outillage de reprise.</t>
  </si>
  <si>
    <t xml:space="preserve">T1490 Inhibit System Recovery</t>
  </si>
  <si>
    <t xml:space="preserve">Supprimer ou chiffrer les données ; forcer une reprise par reconstruction et restauration.</t>
  </si>
  <si>
    <t xml:space="preserve">T1485 Data Destruction / T1486 Data Encrypted for Impact</t>
  </si>
  <si>
    <t xml:space="preserve">OS-07</t>
  </si>
  <si>
    <t xml:space="preserve">Un job malveillant sur un runner partagé tente l'évasion ou la capture de secrets</t>
  </si>
  <si>
    <t xml:space="preserve">R-09</t>
  </si>
  <si>
    <t xml:space="preserve">Étudier les types d'exécuteurs de runners et le comportement de la flotte partagée.</t>
  </si>
  <si>
    <t xml:space="preserve">Le 10-K reconnaît le risque d'exécution de code et des mesures d'atténuation comme les limites de l'offre gratuite (E-02) ; couverture SOC 2 du SaaS (E-05).</t>
  </si>
  <si>
    <t xml:space="preserve">La conception de l'isolation des runners et les indicateurs de détection d'abus ne sont pas vérifiés publiquement dans les sources examinées.</t>
  </si>
  <si>
    <t xml:space="preserve">Soumettre un job CI avec une charge construite depuis un compte de l'offre gratuite.</t>
  </si>
  <si>
    <t xml:space="preserve">T1059 Command and Scripting Interpreter</t>
  </si>
  <si>
    <t xml:space="preserve">Sonder l'hôte du runner, les services de métadonnées et les jobs voisins.</t>
  </si>
  <si>
    <t xml:space="preserve">T1611 Escape to Host / T1552 Unsecured Credentials</t>
  </si>
  <si>
    <t xml:space="preserve">Capturer les secrets d'autres tenants ou détourner du calcul pour du minage.</t>
  </si>
  <si>
    <t xml:space="preserve">T1496 Resource Hijacking</t>
  </si>
  <si>
    <t xml:space="preserve">OS-08</t>
  </si>
  <si>
    <t xml:space="preserve">Un incident chez un sous-traitant ou hyperscaler se propage à GitLab</t>
  </si>
  <si>
    <t xml:space="preserve">R-04</t>
  </si>
  <si>
    <t xml:space="preserve">Lire la liste publique de sous-traitants de GitLab et les pages d'architecture.</t>
  </si>
  <si>
    <t xml:space="preserve">Liste publique de sous-traitants avec notification des changements (E-09) ; ISO 27017/27018 (E-05).</t>
  </si>
  <si>
    <t xml:space="preserve">La profondeur de la diligence, les limites de concentration et les plans de sortie ne sont pas vérifiables publiquement ; le 10-K indique que GitLab peut être tenue responsable des défaillances de tiers (E-02).</t>
  </si>
  <si>
    <t xml:space="preserve">Compromettre un fournisseur de support/analytique, ou déclencher une panne au niveau d'un fournisseur.</t>
  </si>
  <si>
    <t xml:space="preserve">Utiliser les intégrations (ticketing, chaînes de données, passerelles IA) détenant des données ou identifiants liés aux clients.</t>
  </si>
  <si>
    <t xml:space="preserve">Exfiltrer des données de support clients ou dégrader les services GitLab dépendant du fournisseur.</t>
  </si>
  <si>
    <t xml:space="preserve">T1530 Data from Cloud Storage</t>
  </si>
  <si>
    <t xml:space="preserve">OS-09</t>
  </si>
  <si>
    <t xml:space="preserve">Un interne ou un agent de support externalisé abuse de son accès légitime</t>
  </si>
  <si>
    <t xml:space="preserve">R-08</t>
  </si>
  <si>
    <t xml:space="preserve">L'interne connaît déjà les systèmes et les circuits d'approbation.</t>
  </si>
  <si>
    <t xml:space="preserve">Approbations d'accès, revues et retrait à la cessation d'emploi (E-16) ; effectif PEO et prestataire reconnu (E-01).</t>
  </si>
  <si>
    <t xml:space="preserve">Le filtrage des candidats, la surveillance des internes privilégiés et les contraintes du support externalisé ne sont pas vérifiables publiquement.</t>
  </si>
  <si>
    <t xml:space="preserve">Utilise ses droits existants, ou manipule un collègue pour obtenir des accès supplémentaires.</t>
  </si>
  <si>
    <t xml:space="preserve">T1078 Valid Accounts</t>
  </si>
  <si>
    <t xml:space="preserve">Recherche des données clients à forte valeur ou des fonctions d'administration.</t>
  </si>
  <si>
    <t xml:space="preserve">Extrait des données ou sabote la configuration.</t>
  </si>
  <si>
    <t xml:space="preserve">T1567 Exfiltration over Web Service / T1098 Account Manipulation</t>
  </si>
  <si>
    <t xml:space="preserve">OS-10</t>
  </si>
  <si>
    <t xml:space="preserve">Un attaquant exploite le handbook et les issues publics pour y trouver des détails opérationnels exploitables</t>
  </si>
  <si>
    <t xml:space="preserve">R-13</t>
  </si>
  <si>
    <t xml:space="preserve">Parcourir handbook, trackers d'issues, merge requests, feuille de route et blog.</t>
  </si>
  <si>
    <t xml:space="preserve">T1593 Search Open Websites/Domains</t>
  </si>
  <si>
    <t xml:space="preserve">La transparence est délibérée et bornée par des sections internes du handbook ; le 10-K reconnaît la « transparence responsable » (E-02).</t>
  </si>
  <si>
    <t xml:space="preserve">Les garde-fous automatisés pour le contenu public (détection de secrets/PII, portes de classification) ne sont pas documentés publiquement.</t>
  </si>
  <si>
    <t xml:space="preserve">Identifier outillage, nomenclature, détails de services internes ou secrets validés par erreur.</t>
  </si>
  <si>
    <t xml:space="preserve">T1552.001 Credentials in Files</t>
  </si>
  <si>
    <t xml:space="preserve">Recouper avec les identités de collaborateurs et de systèmes.</t>
  </si>
  <si>
    <t xml:space="preserve">T1589 Gather Victim Identity Information</t>
  </si>
  <si>
    <t xml:space="preserve">Utiliser les résultats pour adapter un hameçonnage ou exploiter des points d'accès exposés.</t>
  </si>
  <si>
    <t xml:space="preserve">T1566 Phishing</t>
  </si>
  <si>
    <t xml:space="preserve">Registre des risques (risque inhérent)</t>
  </si>
  <si>
    <t xml:space="preserve">Score = Impact x Vraisemblance (formule). Niveaux : Critique &gt;= 20, Élevé 15-19, Moyen 8-14, Faible &lt;= 7. Cellules grises en gras = jugement de l'analyste.</t>
  </si>
  <si>
    <t xml:space="preserve">Impact (1-5)</t>
  </si>
  <si>
    <t xml:space="preserve">Score de risque</t>
  </si>
  <si>
    <t xml:space="preserve">Priorité</t>
  </si>
  <si>
    <t xml:space="preserve">Justification de la vraisemblance (preuves publiques)</t>
  </si>
  <si>
    <t xml:space="preserve">Responsable du risque (proposé)</t>
  </si>
  <si>
    <t xml:space="preserve">Compromission d'identité privilégiée</t>
  </si>
  <si>
    <t xml:space="preserve">Compromission d'identités de collaborateurs ou d'administration (y compris vol de session/jeton) donnant accès à la production, aux organisations cloud, aux opérateurs Dedicated ou aux éléments de signature.</t>
  </si>
  <si>
    <t xml:space="preserve">VM-01, VM-02, VM-04, VM-07</t>
  </si>
  <si>
    <t xml:space="preserve">Les campagnes d'infostealers et de vol de session sont courantes contre les équipes d'ingénierie distantes ; les notations externes signalent des détections d'infostealers liées à l'organisation ; les mesures de sessions privilégiées ne sont pas démontrées publiquement.</t>
  </si>
  <si>
    <t xml:space="preserve">E-01, E-16, E-17, E-29, E-03</t>
  </si>
  <si>
    <t xml:space="preserve">Responsable Identités et Accès (proposé)</t>
  </si>
  <si>
    <t xml:space="preserve">Exploitation de vulnérabilités produit critiques</t>
  </si>
  <si>
    <t xml:space="preserve">Une faille critique de GitLab (lecture de fichier pré-auth, désérialisation, RCE CI/CD) est exploitée contre GitLab.com, Dedicated ou la base auto-hébergée.</t>
  </si>
  <si>
    <t xml:space="preserve">VM-01, VM-02, VM-03, VM-04</t>
  </si>
  <si>
    <t xml:space="preserve">Deux failles GitLab inscrites au KEV en 30 mois (CVE-2023-7028 ; CVE-2026-85706 avec exploitation en quelques jours) et d'autres correctifs RCE critiques le 23 sept. 2026.</t>
  </si>
  <si>
    <t xml:space="preserve">E-20, E-22, E-23, E-24, E-26, E-32</t>
  </si>
  <si>
    <t xml:space="preserve">VP Sécurité produit (proposé)</t>
  </si>
  <si>
    <t xml:space="preserve">Du code ou un artefact malveillant est introduit via les contributeurs, dépendances, build ou infrastructure de release.</t>
  </si>
  <si>
    <t xml:space="preserve">VM-03, VM-01</t>
  </si>
  <si>
    <t xml:space="preserve">Modèle open-core avec plus de 5 200 contributeurs et forte utilisation de dépendances ; les attaques de chaîne d'approvisionnement sont répandues dans le secteur ; mesures d'intégrité de build non démontrées publiquement.</t>
  </si>
  <si>
    <t xml:space="preserve">VP Ingénierie / Ingénierie de release (proposé)</t>
  </si>
  <si>
    <t xml:space="preserve">Défaillance ou compromission de tiers et de fournisseurs cloud</t>
  </si>
  <si>
    <t xml:space="preserve">Une violation ou panne chez Google Cloud, AWS, les fournisseurs de modèles d'IA ou les sous-traitants de support affecte les services ou données de GitLab.</t>
  </si>
  <si>
    <t xml:space="preserve">VM-01, VM-02, VM-05, VM-07</t>
  </si>
  <si>
    <t xml:space="preserve">Forte dépendance à deux hyperscalers et à plusieurs fournisseurs d'IA/support ; concentration et plans de sortie non vérifiables publiquement.</t>
  </si>
  <si>
    <t xml:space="preserve">E-02, E-09, E-10, E-12</t>
  </si>
  <si>
    <t xml:space="preserve">Responsable Risques tiers (proposé)</t>
  </si>
  <si>
    <t xml:space="preserve">Interruption majeure de service ou perte de données</t>
  </si>
  <si>
    <t xml:space="preserve">Panne prolongée de GitLab.com, attaque destructrice ou défaillance régionale avec reprise lente ou incomplète.</t>
  </si>
  <si>
    <t xml:space="preserve">Exploitation mono-région décrite dans les documents de conception, reprise régionale historiquement non validée de bout en bout ; atténuée par les Game Days, sauvegardes multi-régions et tests de restauration quotidiens.</t>
  </si>
  <si>
    <t xml:space="preserve">E-12, E-13, E-14, E-15, E-01</t>
  </si>
  <si>
    <t xml:space="preserve">VP Infrastructure (proposé)</t>
  </si>
  <si>
    <t xml:space="preserve">Détournement des fonctions d'IA et des agents</t>
  </si>
  <si>
    <t xml:space="preserve">Injection de prompt, agents/jetons sur-privilégiés ou faiblesses de la chaîne d'approvisionnement de l'IA conduisent à des fuites de données ou modifications de code malveillantes.</t>
  </si>
  <si>
    <t xml:space="preserve">Des recherches publiées ont déjà démontré l'exfiltration ; les agents autonomes étendent la surface ; les correctifs de septembre 2026 touchent Duo, GraphQL et les périmètres MCP.</t>
  </si>
  <si>
    <t xml:space="preserve">E-02, E-23, E-26, E-27</t>
  </si>
  <si>
    <t xml:space="preserve">Responsable Sécurité de l'IA (proposé)</t>
  </si>
  <si>
    <t xml:space="preserve">L'accès opérateur ou une faille du plan de gestion donne une portée multi-tenant dans GitLab Dedicated.</t>
  </si>
  <si>
    <t xml:space="preserve">Une conception d'isolation robuste et le contrôle des clients régulés réduisent la vraisemblance, mais l'impact est multi-tenant par construction.</t>
  </si>
  <si>
    <t xml:space="preserve">E-10, E-11, E-06</t>
  </si>
  <si>
    <t xml:space="preserve">Directeur Ingénierie Dedicated (proposé)</t>
  </si>
  <si>
    <t xml:space="preserve">Abus d'accès privilégié ou de support par un interne</t>
  </si>
  <si>
    <t xml:space="preserve">Un salarié, prestataire, personnel PEO ou de support externalisé abuse d'un accès légitime.</t>
  </si>
  <si>
    <t xml:space="preserve">Les modèles d'effectif larges accroissent l'exposition ; une politique d'accès et des mesures de retrait des droits existent.</t>
  </si>
  <si>
    <t xml:space="preserve">E-01, E-16, E-09</t>
  </si>
  <si>
    <t xml:space="preserve">Responsable Assurance sécurité / RH (proposé)</t>
  </si>
  <si>
    <t xml:space="preserve">Abus des runners CI partagés et évasion entre tenants</t>
  </si>
  <si>
    <t xml:space="preserve">Des jobs malveillants sortent de l'isolation, capturent des secrets ou détournent du calcul partagé.</t>
  </si>
  <si>
    <t xml:space="preserve">L'exécution du code client est inhérente au produit ; l'abus de l'offre gratuite est un schéma persistant.</t>
  </si>
  <si>
    <t xml:space="preserve">E-02, E-05</t>
  </si>
  <si>
    <t xml:space="preserve">Directeur Plateforme Runners (proposé)</t>
  </si>
  <si>
    <t xml:space="preserve">R-10</t>
  </si>
  <si>
    <t xml:space="preserve">Écart d'adoption des correctifs exposant les clients auto-hébergés et la réputation de GitLab</t>
  </si>
  <si>
    <t xml:space="preserve">Les clients ne corrigent pas (ou exécutent des versions non supportées) après divulgation, entraînant une exploitation de masse et une atteinte à la réputation de GitLab.</t>
  </si>
  <si>
    <t xml:space="preserve">Deux semaines après la faille KEV de 2024, des milliers d'instances restaient vulnérables ; en 2026, des correctifs ont été rétroportés vers des branches en fin de vie.</t>
  </si>
  <si>
    <t xml:space="preserve">E-21, E-25, E-22</t>
  </si>
  <si>
    <t xml:space="preserve">VP Sécurité produit / Support (proposé)</t>
  </si>
  <si>
    <t xml:space="preserve">R-11</t>
  </si>
  <si>
    <t xml:space="preserve">Défaut de continuité de la gouvernance de la sécurité</t>
  </si>
  <si>
    <t xml:space="preserve">Une transition de direction et une croissance rapide réduisent la clarté de la responsabilité des risques, le reporting d'indicateurs et le rythme d'assurance.</t>
  </si>
  <si>
    <t xml:space="preserve">VM-06, VM-07</t>
  </si>
  <si>
    <t xml:space="preserve">Poste de RSSI laissé vacant le 26 févr. 2026 avec un intérimaire en place ; programme décrit comme se poursuivant normalement.</t>
  </si>
  <si>
    <t xml:space="preserve">E-03, E-04, E-31</t>
  </si>
  <si>
    <t xml:space="preserve">Comité d'audit / DG (proposé)</t>
  </si>
  <si>
    <t xml:space="preserve">R-12</t>
  </si>
  <si>
    <t xml:space="preserve">Expiration ou érosion des certifications et de l'éligibilité aux marchés régulés</t>
  </si>
  <si>
    <t xml:space="preserve">Transitions de normes manquées, écarts de périmètre ou constats avec réserves compromettent les ventes publiques et régulées.</t>
  </si>
  <si>
    <t xml:space="preserve">Portefeuille de certifications solide, mais les pages publiques mélangent des éditions ISO et FedRAMP High reste prévu.</t>
  </si>
  <si>
    <t xml:space="preserve">E-05, E-06, E-07, E-30</t>
  </si>
  <si>
    <t xml:space="preserve">Directeur Conformité sécurité (proposé)</t>
  </si>
  <si>
    <t xml:space="preserve">Sur-divulgation due à la transparence radicale</t>
  </si>
  <si>
    <t xml:space="preserve">Le handbook, les issues et la feuille de route publics fuitent des détails opérationnels ou de sécurité, ou des secrets.</t>
  </si>
  <si>
    <t xml:space="preserve">La transparence est une valeur centrale et le 10-K signale l'exactitude du handbook et les conséquences involontaires comme un risque.</t>
  </si>
  <si>
    <t xml:space="preserve">Responsable Assurance sécurité (proposé)</t>
  </si>
  <si>
    <t xml:space="preserve">Synthèse par priorité</t>
  </si>
  <si>
    <t xml:space="preserve">Critique</t>
  </si>
  <si>
    <t xml:space="preserve">Élevé</t>
  </si>
  <si>
    <t xml:space="preserve">Moyen</t>
  </si>
  <si>
    <t xml:space="preserve">Total des risques</t>
  </si>
  <si>
    <t xml:space="preserve">Score inhérent moyen</t>
  </si>
  <si>
    <t xml:space="preserve">Atelier 5 - Décisions de traitement et risque résiduel</t>
  </si>
  <si>
    <t xml:space="preserve">Résiduel = cible après la feuille de route de 24 mois. Le score inhérent provient de Registre_Risques. Impact/vraisemblance résiduels = saisies sur fond gris.</t>
  </si>
  <si>
    <t xml:space="preserve">Intitulé du risque</t>
  </si>
  <si>
    <t xml:space="preserve">Score inhérent</t>
  </si>
  <si>
    <t xml:space="preserve">Mesures de traitement</t>
  </si>
  <si>
    <t xml:space="preserve">Exigences PSSI</t>
  </si>
  <si>
    <t xml:space="preserve">Actions de la feuille de route</t>
  </si>
  <si>
    <t xml:space="preserve">Impact résiduel</t>
  </si>
  <si>
    <t xml:space="preserve">Vraisemblance résiduelle</t>
  </si>
  <si>
    <t xml:space="preserve">Score résiduel</t>
  </si>
  <si>
    <t xml:space="preserve">Niveau résiduel</t>
  </si>
  <si>
    <t xml:space="preserve">Responsable du risque / autorité d'acceptation</t>
  </si>
  <si>
    <t xml:space="preserve">Revue</t>
  </si>
  <si>
    <t xml:space="preserve">Réduire</t>
  </si>
  <si>
    <t xml:space="preserve">Inventaire des accès privilégiés Tier-0 ; MFA résistant à l'hameçonnage et sessions courtes ; élévation juste-à-temps ; hygiène des identités machines ; détection d'activité privilégiée anormale.</t>
  </si>
  <si>
    <t xml:space="preserve">IAM-01, IAM-02, IAM-04, MON-01</t>
  </si>
  <si>
    <t xml:space="preserve">A-01, A-04, A-05, A-09, A-10, A-11, A-12, A-16, A-21</t>
  </si>
  <si>
    <t xml:space="preserve">RSSI (intérim puis titulaire) ; comité d'audit informé</t>
  </si>
  <si>
    <t xml:space="preserve">Trimestrielle</t>
  </si>
  <si>
    <t xml:space="preserve">Réponse aux vulnérabilités critiques plus rapide et répétée ; durcissement du développement sécurisé des composants à haut risque (authz, parseurs, interpréteurs CI/CD) ; réduction d'exposition en périphérie SaaS ; playbook KEV.</t>
  </si>
  <si>
    <t xml:space="preserve">SSC-03, SSC-04, RES-03</t>
  </si>
  <si>
    <t xml:space="preserve">A-02, A-03, A-06, A-08, A-16, A-17, A-22</t>
  </si>
  <si>
    <t xml:space="preserve">RSSI ; risque résiduel Élevé accepté par le comité d'audit avec suivi</t>
  </si>
  <si>
    <t xml:space="preserve">Mensuelle (par cycle de release)</t>
  </si>
  <si>
    <t xml:space="preserve">Provenance et signature vérifiables des builds, builders éphémères hermétiques, approbation de release à deux personnes, comptes de mainteneurs durcis, gouvernance des dépendances.</t>
  </si>
  <si>
    <t xml:space="preserve">SSC-01, SSC-02, IAM-01</t>
  </si>
  <si>
    <t xml:space="preserve">A-09, A-19</t>
  </si>
  <si>
    <t xml:space="preserve">RSSI / VP Ingénierie</t>
  </si>
  <si>
    <t xml:space="preserve">Réduire + Transférer</t>
  </si>
  <si>
    <t xml:space="preserve">Analyse de concentration et de sortie, plans en mode dégradé, clauses contractuelles de sécurité et de notification, revue de la cyber-assurance.</t>
  </si>
  <si>
    <t xml:space="preserve">TPM-01, TPM-02</t>
  </si>
  <si>
    <t xml:space="preserve">A-13, A-14, A-23</t>
  </si>
  <si>
    <t xml:space="preserve">RSSI / DAF</t>
  </si>
  <si>
    <t xml:space="preserve">Semestrielle</t>
  </si>
  <si>
    <t xml:space="preserve">Tests de reprise régionale de bout en bout, sauvegardes immuables inter-comptes, réduction du rayon d'impact (cellules), attestation publique des RTO/RPO.</t>
  </si>
  <si>
    <t xml:space="preserve">RES-01, RES-02, RES-03</t>
  </si>
  <si>
    <t xml:space="preserve">A-13, A-18, A-23</t>
  </si>
  <si>
    <t xml:space="preserve">VP Infrastructure ; RSSI</t>
  </si>
  <si>
    <t xml:space="preserve">Modélisation des menaces de l'IA, jetons d'agents et MCP au moindre privilège, approbation humaine des actions sensibles, durcissement des canaux de sortie, red teaming continu de l'IA.</t>
  </si>
  <si>
    <t xml:space="preserve">AI-01, AI-02, AI-03</t>
  </si>
  <si>
    <t xml:space="preserve">A-03, A-14, A-22</t>
  </si>
  <si>
    <t xml:space="preserve">Responsable Sécurité de l'IA ; RSSI</t>
  </si>
  <si>
    <t xml:space="preserve">Revue de durcissement du plan de contrôle, test d'intrusion indépendant des chemins inter-tenants, accès opérateur JIT.</t>
  </si>
  <si>
    <t xml:space="preserve">CLD-02, IAM-01</t>
  </si>
  <si>
    <t xml:space="preserve">A-05, A-11, A-24</t>
  </si>
  <si>
    <t xml:space="preserve">Directeur Dedicated ; RSSI</t>
  </si>
  <si>
    <t xml:space="preserve">Programme de risque interne, référentiel d'accès des prestataires/PEO, surveillance de l'activité privilégiée.</t>
  </si>
  <si>
    <t xml:space="preserve">IAM-03, PPL-01, PPL-02</t>
  </si>
  <si>
    <t xml:space="preserve">A-04, A-12, A-21</t>
  </si>
  <si>
    <t xml:space="preserve">Responsable Assurance sécurité ; RH</t>
  </si>
  <si>
    <t xml:space="preserve">Durcissement de l'isolation des runners et analytique d'abus.</t>
  </si>
  <si>
    <t xml:space="preserve">CLD-03</t>
  </si>
  <si>
    <t xml:space="preserve">A-20</t>
  </si>
  <si>
    <t xml:space="preserve">Directeur Plateforme Runners</t>
  </si>
  <si>
    <t xml:space="preserve">Normes d'avis aux clients, politique de versions supportées, incitations fondées sur la télémétrie, publication d'indicateurs de délai de correction.</t>
  </si>
  <si>
    <t xml:space="preserve">SSC-03, SSC-05, CMP-02</t>
  </si>
  <si>
    <t xml:space="preserve">A-02, A-08, A-17</t>
  </si>
  <si>
    <t xml:space="preserve">VP Sécurité produit ; Support</t>
  </si>
  <si>
    <t xml:space="preserve">À chaque release critique</t>
  </si>
  <si>
    <t xml:space="preserve">Charte de continuité de la gouvernance, pack d'indicateurs pour le comité d'audit, cycle EBIOS RM annuel avec quantification des risques.</t>
  </si>
  <si>
    <t xml:space="preserve">GOV-01, GOV-02, GOV-04</t>
  </si>
  <si>
    <t xml:space="preserve">A-01, A-06, A-25, A-26</t>
  </si>
  <si>
    <t xml:space="preserve">Comité d'audit</t>
  </si>
  <si>
    <t xml:space="preserve">Réduire + Accepter le résiduel</t>
  </si>
  <si>
    <t xml:space="preserve">Rapprocher les déclarations publiques sur les certifications, automatiser les preuves, maintien prévu de FedRAMP High / ISO 42001.</t>
  </si>
  <si>
    <t xml:space="preserve">CMP-01, GOV-03</t>
  </si>
  <si>
    <t xml:space="preserve">A-07, A-24, A-25</t>
  </si>
  <si>
    <t xml:space="preserve">Directeur Conformité sécurité</t>
  </si>
  <si>
    <t xml:space="preserve">Annuelle</t>
  </si>
  <si>
    <t xml:space="preserve">Portes de classification et détection automatisée de secrets/PII pour le contenu public.</t>
  </si>
  <si>
    <t xml:space="preserve">TRN-01, IAM-04</t>
  </si>
  <si>
    <t xml:space="preserve">A-10, A-15</t>
  </si>
  <si>
    <t xml:space="preserve">Responsable Assurance sécurité</t>
  </si>
  <si>
    <t xml:space="preserve">Score inhérent total</t>
  </si>
  <si>
    <t xml:space="preserve">Score résiduel total</t>
  </si>
  <si>
    <t xml:space="preserve">Réduction du risque</t>
  </si>
  <si>
    <t xml:space="preserve">Dispositif de suivi</t>
  </si>
  <si>
    <t xml:space="preserve">Activité</t>
  </si>
  <si>
    <t xml:space="preserve">Fréquence</t>
  </si>
  <si>
    <t xml:space="preserve">Responsable</t>
  </si>
  <si>
    <t xml:space="preserve">Périmètre</t>
  </si>
  <si>
    <t xml:space="preserve">Revue du registre des risques</t>
  </si>
  <si>
    <t xml:space="preserve">Gouvernance de la sécurité</t>
  </si>
  <si>
    <t xml:space="preserve">Réévaluer R-01 à R-13 ; ajouter les risques émergents (p. ex. nouvelles classes d'attaques d'IA).</t>
  </si>
  <si>
    <t xml:space="preserve">Mise à jour complète EBIOS RM</t>
  </si>
  <si>
    <t xml:space="preserve">Annuelle, ou après un incident majeur / changement d'architecture</t>
  </si>
  <si>
    <t xml:space="preserve">RSSI</t>
  </si>
  <si>
    <t xml:space="preserve">Rejouer les ateliers 2 à 5 ; mettre à jour les niveaux de menace de l'écosystème.</t>
  </si>
  <si>
    <t xml:space="preserve">Suivi de la feuille de route</t>
  </si>
  <si>
    <t xml:space="preserve">Comité de pilotage mensuel ; comité d'audit trimestriel</t>
  </si>
  <si>
    <t xml:space="preserve">PMO sécurité</t>
  </si>
  <si>
    <t xml:space="preserve">Avancement vs jalons, tendance des indicateurs, risque de dépendances.</t>
  </si>
  <si>
    <t xml:space="preserve">Actualisation des preuves publiques</t>
  </si>
  <si>
    <t xml:space="preserve">Analyste / Assurance sécurité</t>
  </si>
  <si>
    <t xml:space="preserve">Mettre à jour le registre de preuves ; réévaluer les éléments « non vérifiables publiquement ».</t>
  </si>
  <si>
    <t xml:space="preserve">Déclencheur de renseignement sur la menace</t>
  </si>
  <si>
    <t xml:space="preserve">Continue</t>
  </si>
  <si>
    <t xml:space="preserve">SecOps / Renseignement sur la menace</t>
  </si>
  <si>
    <t xml:space="preserve">Les ajouts KEV, campagnes sectorielles et nouvelles classes de CVE déclenchent une revue hors cycle.</t>
  </si>
  <si>
    <t xml:space="preserve">Échelles et définitions</t>
  </si>
  <si>
    <t xml:space="preserve">Échelle d'impact</t>
  </si>
  <si>
    <t xml:space="preserve">Libellé</t>
  </si>
  <si>
    <t xml:space="preserve">Définition</t>
  </si>
  <si>
    <t xml:space="preserve">Négligeable</t>
  </si>
  <si>
    <t xml:space="preserve">Aucun effet mesurable sur les clients, le chiffre d'affaires ou la conformité ; absorbé par l'exploitation normale.</t>
  </si>
  <si>
    <t xml:space="preserve">Mineur</t>
  </si>
  <si>
    <t xml:space="preserve">Effet limité et de courte durée sur quelques clients ; aucune conséquence réglementaire ou contractuelle.</t>
  </si>
  <si>
    <t xml:space="preserve">Modéré</t>
  </si>
  <si>
    <t xml:space="preserve">Impact client perceptible ou conséquence contractuelle/de conformité ; récupérable par le processus normal de gestion d'incident.</t>
  </si>
  <si>
    <t xml:space="preserve">Majeur</t>
  </si>
  <si>
    <t xml:space="preserve">Impact multi-clients, dégradation significative du service ou exposition de données ; obligations de notification et atteinte notable à la réputation.</t>
  </si>
  <si>
    <t xml:space="preserve">Impact systémique, multi-clients ou sur la chaîne d'approvisionnement ; compromission massive de données/propriété intellectuelle ou perte prolongée de la plateforme ; significatif pour la valeur de l'entreprise.</t>
  </si>
  <si>
    <t xml:space="preserve">Échelle de vraisemblance</t>
  </si>
  <si>
    <t xml:space="preserve">Rare</t>
  </si>
  <si>
    <t xml:space="preserve">Moins de 5 % de chances d'occurrence significative sur 24 mois.</t>
  </si>
  <si>
    <t xml:space="preserve">Peu probable</t>
  </si>
  <si>
    <t xml:space="preserve">5 à 20 % sur 24 mois.</t>
  </si>
  <si>
    <t xml:space="preserve">Possible</t>
  </si>
  <si>
    <t xml:space="preserve">20 à 50 % sur 24 mois.</t>
  </si>
  <si>
    <t xml:space="preserve">Probable</t>
  </si>
  <si>
    <t xml:space="preserve">50 à 80 % sur 24 mois, ou événements comparables déjà observés dans le secteur.</t>
  </si>
  <si>
    <t xml:space="preserve">Quasi certain</t>
  </si>
  <si>
    <t xml:space="preserve">Plus de 80 % sur 24 mois, ou occurrence continue.</t>
  </si>
  <si>
    <t xml:space="preserve">Niveaux de priorité</t>
  </si>
  <si>
    <t xml:space="preserve">Score</t>
  </si>
  <si>
    <t xml:space="preserve">Signification</t>
  </si>
  <si>
    <t xml:space="preserve">&gt;= 20</t>
  </si>
  <si>
    <t xml:space="preserve">Attention au niveau du conseil ; traitement immédiat (0-3 mois).</t>
  </si>
  <si>
    <t xml:space="preserve">15-19</t>
  </si>
  <si>
    <t xml:space="preserve">Plan de traitement porté par un dirigeant ; premières actions sous 3-6 mois.</t>
  </si>
  <si>
    <t xml:space="preserve">8-14</t>
  </si>
  <si>
    <t xml:space="preserve">Géré dans le programme de sécurité courant ; actions sous 6-12 mois.</t>
  </si>
  <si>
    <t xml:space="preserve">&lt;= 7</t>
  </si>
  <si>
    <t xml:space="preserve">Surveillance ; acceptation ou traitement opportuniste.</t>
  </si>
  <si>
    <t xml:space="preserve">Niveaux de preuve publique</t>
  </si>
  <si>
    <t xml:space="preserve">Fortement démontré</t>
  </si>
  <si>
    <t xml:space="preserve">Une assurance indépendante ou une documentation primaire détaillée est publiquement disponible.</t>
  </si>
  <si>
    <t xml:space="preserve">Partiellement démontré</t>
  </si>
  <si>
    <t xml:space="preserve">Une politique, une déclaration ou une conception est publique, mais l'efficacité opérationnelle ne peut pas être vérifiée de l'extérieur.</t>
  </si>
  <si>
    <t xml:space="preserve">Non vérifiable publiquement</t>
  </si>
  <si>
    <t xml:space="preserve">Aucune preuve publique pertinente dans les sources examinées. Cela ne signifie PAS que la mesure est absente.</t>
  </si>
  <si>
    <t xml:space="preserve">Signal public d'exposition</t>
  </si>
  <si>
    <t xml:space="preserve">Des événements ou travaux de recherche publics indiquent une exposition résiduelle dans ce domaine. Cela ne prouve PAS que la mesure est absente ou inefficace.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</si>
</sst>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3E3E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A6A6A6"/>
        </patternFill>
      </fill>
    </dxf>
    <dxf>
      <fill>
        <patternFill>
          <bgColor rgb="FFC8C8C8"/>
        </patternFill>
      </fill>
    </dxf>
    <dxf>
      <fill>
        <patternFill>
          <bgColor rgb="FFE3E3E3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3E3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14</v>
      </c>
    </row>
    <row r="3" customFormat="false" ht="23.85" hidden="false" customHeight="false" outlineLevel="0" collapsed="false">
      <c r="A3" s="4" t="s">
        <v>15</v>
      </c>
      <c r="B3" s="4" t="s">
        <v>16</v>
      </c>
    </row>
    <row r="4" customFormat="false" ht="23.85" hidden="false" customHeight="false" outlineLevel="0" collapsed="false">
      <c r="A4" s="4" t="s">
        <v>17</v>
      </c>
      <c r="B4" s="4" t="s">
        <v>18</v>
      </c>
    </row>
    <row r="5" customFormat="false" ht="15" hidden="false" customHeight="false" outlineLevel="0" collapsed="false">
      <c r="A5" s="4"/>
      <c r="B5" s="4"/>
    </row>
    <row r="6" customFormat="false" ht="15" hidden="false" customHeight="false" outlineLevel="0" collapsed="false">
      <c r="A6" s="5" t="s">
        <v>19</v>
      </c>
      <c r="B6" s="4"/>
    </row>
    <row r="7" customFormat="false" ht="15" hidden="false" customHeight="false" outlineLevel="0" collapsed="false">
      <c r="A7" s="4"/>
      <c r="B7" s="4" t="s">
        <v>20</v>
      </c>
    </row>
    <row r="8" customFormat="false" ht="15" hidden="false" customHeight="false" outlineLevel="0" collapsed="false">
      <c r="A8" s="4"/>
      <c r="B8" s="4" t="s">
        <v>21</v>
      </c>
    </row>
    <row r="9" customFormat="false" ht="15" hidden="false" customHeight="false" outlineLevel="0" collapsed="false">
      <c r="A9" s="4"/>
      <c r="B9" s="4" t="s">
        <v>22</v>
      </c>
    </row>
    <row r="10" customFormat="false" ht="15" hidden="false" customHeight="false" outlineLevel="0" collapsed="false">
      <c r="A10" s="4"/>
      <c r="B10" s="4" t="s">
        <v>23</v>
      </c>
    </row>
    <row r="11" customFormat="false" ht="15" hidden="false" customHeight="false" outlineLevel="0" collapsed="false">
      <c r="A11" s="4"/>
      <c r="B11" s="4" t="s">
        <v>24</v>
      </c>
    </row>
    <row r="12" customFormat="false" ht="15" hidden="false" customHeight="false" outlineLevel="0" collapsed="false">
      <c r="A12" s="4"/>
      <c r="B12" s="4" t="s">
        <v>25</v>
      </c>
    </row>
    <row r="13" customFormat="false" ht="15" hidden="false" customHeight="false" outlineLevel="0" collapsed="false">
      <c r="A13" s="4"/>
      <c r="B13" s="4"/>
    </row>
    <row r="14" customFormat="false" ht="15" hidden="false" customHeight="false" outlineLevel="0" collapsed="false">
      <c r="A14" s="5" t="s">
        <v>26</v>
      </c>
      <c r="B14" s="4"/>
    </row>
    <row r="15" customFormat="false" ht="15" hidden="false" customHeight="false" outlineLevel="0" collapsed="false">
      <c r="A15" s="4"/>
      <c r="B15" s="4" t="s">
        <v>27</v>
      </c>
    </row>
    <row r="16" customFormat="false" ht="15" hidden="false" customHeight="false" outlineLevel="0" collapsed="false">
      <c r="A16" s="4"/>
      <c r="B16" s="4" t="s">
        <v>28</v>
      </c>
    </row>
    <row r="17" customFormat="false" ht="15" hidden="false" customHeight="false" outlineLevel="0" collapsed="false">
      <c r="A17" s="4"/>
      <c r="B17" s="4" t="s">
        <v>29</v>
      </c>
    </row>
    <row r="18" customFormat="false" ht="15" hidden="false" customHeight="false" outlineLevel="0" collapsed="false">
      <c r="A18" s="4"/>
      <c r="B18" s="4" t="s">
        <v>30</v>
      </c>
    </row>
    <row r="19" customFormat="false" ht="15" hidden="false" customHeight="false" outlineLevel="0" collapsed="false">
      <c r="A19" s="4"/>
      <c r="B19" s="4" t="s">
        <v>31</v>
      </c>
    </row>
    <row r="20" customFormat="false" ht="15" hidden="false" customHeight="false" outlineLevel="0" collapsed="false">
      <c r="A20" s="4"/>
      <c r="B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80"/>
    <col collapsed="false" customWidth="true" hidden="false" outlineLevel="0" max="4" min="4" style="0" width="3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32</v>
      </c>
    </row>
    <row r="3" customFormat="false" ht="31.5" hidden="false" customHeight="true" outlineLevel="0" collapsed="false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</row>
    <row r="4" customFormat="false" ht="22.35" hidden="false" customHeight="false" outlineLevel="0" collapsed="false">
      <c r="A4" s="7" t="s">
        <v>38</v>
      </c>
      <c r="B4" s="7" t="s">
        <v>39</v>
      </c>
      <c r="C4" s="7" t="s">
        <v>40</v>
      </c>
      <c r="D4" s="7" t="s">
        <v>41</v>
      </c>
      <c r="E4" s="7" t="s">
        <v>42</v>
      </c>
    </row>
    <row r="5" customFormat="false" ht="22.3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7" t="s">
        <v>47</v>
      </c>
    </row>
    <row r="6" customFormat="false" ht="22.35" hidden="false" customHeight="false" outlineLevel="0" collapsed="false">
      <c r="A6" s="7" t="s">
        <v>48</v>
      </c>
      <c r="B6" s="7" t="s">
        <v>49</v>
      </c>
      <c r="C6" s="7" t="s">
        <v>50</v>
      </c>
      <c r="D6" s="7" t="s">
        <v>51</v>
      </c>
      <c r="E6" s="7" t="s">
        <v>52</v>
      </c>
    </row>
    <row r="7" customFormat="false" ht="22.35" hidden="false" customHeight="false" outlineLevel="0" collapsed="false">
      <c r="A7" s="7" t="s">
        <v>53</v>
      </c>
      <c r="B7" s="7" t="s">
        <v>54</v>
      </c>
      <c r="C7" s="7" t="s">
        <v>55</v>
      </c>
      <c r="D7" s="7" t="s">
        <v>56</v>
      </c>
      <c r="E7" s="7" t="s">
        <v>57</v>
      </c>
    </row>
    <row r="8" customFormat="false" ht="22.35" hidden="false" customHeight="false" outlineLevel="0" collapsed="false">
      <c r="A8" s="7" t="s">
        <v>58</v>
      </c>
      <c r="B8" s="7" t="s">
        <v>59</v>
      </c>
      <c r="C8" s="7" t="s">
        <v>60</v>
      </c>
      <c r="D8" s="7" t="s">
        <v>61</v>
      </c>
      <c r="E8" s="7" t="s">
        <v>62</v>
      </c>
    </row>
    <row r="9" customFormat="false" ht="22.35" hidden="false" customHeight="false" outlineLevel="0" collapsed="false">
      <c r="A9" s="7" t="s">
        <v>63</v>
      </c>
      <c r="B9" s="7" t="s">
        <v>64</v>
      </c>
      <c r="C9" s="7" t="s">
        <v>65</v>
      </c>
      <c r="D9" s="7" t="s">
        <v>66</v>
      </c>
      <c r="E9" s="7" t="s">
        <v>67</v>
      </c>
    </row>
    <row r="10" customFormat="false" ht="32.8" hidden="false" customHeight="false" outlineLevel="0" collapsed="false">
      <c r="A10" s="7" t="s">
        <v>68</v>
      </c>
      <c r="B10" s="7" t="s">
        <v>69</v>
      </c>
      <c r="C10" s="7" t="s">
        <v>70</v>
      </c>
      <c r="D10" s="7" t="s">
        <v>71</v>
      </c>
      <c r="E10" s="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72</v>
      </c>
    </row>
    <row r="3" customFormat="false" ht="31.5" hidden="false" customHeight="true" outlineLevel="0" collapsed="false">
      <c r="A3" s="6" t="s">
        <v>33</v>
      </c>
      <c r="B3" s="6" t="s">
        <v>73</v>
      </c>
      <c r="C3" s="6" t="s">
        <v>74</v>
      </c>
      <c r="D3" s="6" t="s">
        <v>75</v>
      </c>
      <c r="E3" s="6" t="s">
        <v>76</v>
      </c>
    </row>
    <row r="4" customFormat="false" ht="15" hidden="false" customHeight="false" outlineLevel="0" collapsed="false">
      <c r="A4" s="7" t="s">
        <v>77</v>
      </c>
      <c r="B4" s="7" t="s">
        <v>78</v>
      </c>
      <c r="C4" s="7" t="s">
        <v>79</v>
      </c>
      <c r="D4" s="7" t="s">
        <v>80</v>
      </c>
      <c r="E4" s="7" t="s">
        <v>81</v>
      </c>
    </row>
    <row r="5" customFormat="false" ht="15" hidden="false" customHeight="false" outlineLevel="0" collapsed="false">
      <c r="A5" s="7" t="s">
        <v>82</v>
      </c>
      <c r="B5" s="7" t="s">
        <v>83</v>
      </c>
      <c r="C5" s="7" t="s">
        <v>84</v>
      </c>
      <c r="D5" s="7" t="s">
        <v>80</v>
      </c>
      <c r="E5" s="7" t="s">
        <v>85</v>
      </c>
    </row>
    <row r="6" customFormat="false" ht="15" hidden="false" customHeight="false" outlineLevel="0" collapsed="false">
      <c r="A6" s="7" t="s">
        <v>86</v>
      </c>
      <c r="B6" s="7" t="s">
        <v>87</v>
      </c>
      <c r="C6" s="7" t="s">
        <v>88</v>
      </c>
      <c r="D6" s="7" t="s">
        <v>80</v>
      </c>
      <c r="E6" s="7" t="s">
        <v>89</v>
      </c>
    </row>
    <row r="7" customFormat="false" ht="15" hidden="false" customHeight="false" outlineLevel="0" collapsed="false">
      <c r="A7" s="7" t="s">
        <v>90</v>
      </c>
      <c r="B7" s="7" t="s">
        <v>91</v>
      </c>
      <c r="C7" s="7" t="s">
        <v>92</v>
      </c>
      <c r="D7" s="7" t="s">
        <v>93</v>
      </c>
      <c r="E7" s="7" t="s">
        <v>94</v>
      </c>
    </row>
    <row r="8" customFormat="false" ht="15" hidden="false" customHeight="false" outlineLevel="0" collapsed="false">
      <c r="A8" s="7" t="s">
        <v>95</v>
      </c>
      <c r="B8" s="7" t="s">
        <v>96</v>
      </c>
      <c r="C8" s="7" t="s">
        <v>97</v>
      </c>
      <c r="D8" s="7" t="s">
        <v>38</v>
      </c>
      <c r="E8" s="7" t="s">
        <v>98</v>
      </c>
    </row>
    <row r="9" customFormat="false" ht="15" hidden="false" customHeight="false" outlineLevel="0" collapsed="false">
      <c r="A9" s="7" t="s">
        <v>99</v>
      </c>
      <c r="B9" s="7" t="s">
        <v>100</v>
      </c>
      <c r="C9" s="7" t="s">
        <v>101</v>
      </c>
      <c r="D9" s="7" t="s">
        <v>38</v>
      </c>
      <c r="E9" s="7" t="s">
        <v>102</v>
      </c>
    </row>
    <row r="10" customFormat="false" ht="15" hidden="false" customHeight="false" outlineLevel="0" collapsed="false">
      <c r="A10" s="7" t="s">
        <v>103</v>
      </c>
      <c r="B10" s="7" t="s">
        <v>104</v>
      </c>
      <c r="C10" s="7" t="s">
        <v>97</v>
      </c>
      <c r="D10" s="7" t="s">
        <v>105</v>
      </c>
      <c r="E10" s="7" t="s">
        <v>106</v>
      </c>
    </row>
    <row r="11" customFormat="false" ht="15" hidden="false" customHeight="false" outlineLevel="0" collapsed="false">
      <c r="A11" s="7" t="s">
        <v>107</v>
      </c>
      <c r="B11" s="7" t="s">
        <v>108</v>
      </c>
      <c r="C11" s="7" t="s">
        <v>109</v>
      </c>
      <c r="D11" s="7" t="s">
        <v>43</v>
      </c>
      <c r="E11" s="7" t="s">
        <v>110</v>
      </c>
    </row>
    <row r="12" customFormat="false" ht="22.35" hidden="false" customHeight="false" outlineLevel="0" collapsed="false">
      <c r="A12" s="7" t="s">
        <v>111</v>
      </c>
      <c r="B12" s="7" t="s">
        <v>112</v>
      </c>
      <c r="C12" s="7" t="s">
        <v>113</v>
      </c>
      <c r="D12" s="7" t="s">
        <v>48</v>
      </c>
      <c r="E12" s="7" t="s">
        <v>114</v>
      </c>
    </row>
    <row r="13" customFormat="false" ht="15" hidden="false" customHeight="false" outlineLevel="0" collapsed="false">
      <c r="A13" s="7" t="s">
        <v>115</v>
      </c>
      <c r="B13" s="7" t="s">
        <v>116</v>
      </c>
      <c r="C13" s="7" t="s">
        <v>117</v>
      </c>
      <c r="D13" s="7" t="s">
        <v>48</v>
      </c>
      <c r="E13" s="7" t="s">
        <v>114</v>
      </c>
    </row>
    <row r="14" customFormat="false" ht="15" hidden="false" customHeight="false" outlineLevel="0" collapsed="false">
      <c r="A14" s="7" t="s">
        <v>118</v>
      </c>
      <c r="B14" s="7" t="s">
        <v>119</v>
      </c>
      <c r="C14" s="7" t="s">
        <v>120</v>
      </c>
      <c r="D14" s="7" t="s">
        <v>53</v>
      </c>
      <c r="E14" s="7" t="s">
        <v>121</v>
      </c>
    </row>
    <row r="15" customFormat="false" ht="15" hidden="false" customHeight="false" outlineLevel="0" collapsed="false">
      <c r="A15" s="7" t="s">
        <v>122</v>
      </c>
      <c r="B15" s="7" t="s">
        <v>123</v>
      </c>
      <c r="C15" s="7" t="s">
        <v>124</v>
      </c>
      <c r="D15" s="7" t="s">
        <v>58</v>
      </c>
      <c r="E15" s="7" t="s">
        <v>125</v>
      </c>
    </row>
    <row r="16" customFormat="false" ht="15" hidden="false" customHeight="false" outlineLevel="0" collapsed="false">
      <c r="A16" s="7" t="s">
        <v>126</v>
      </c>
      <c r="B16" s="7" t="s">
        <v>127</v>
      </c>
      <c r="C16" s="7" t="s">
        <v>128</v>
      </c>
      <c r="D16" s="7" t="s">
        <v>63</v>
      </c>
      <c r="E16" s="7" t="s">
        <v>129</v>
      </c>
    </row>
    <row r="17" customFormat="false" ht="22.35" hidden="false" customHeight="false" outlineLevel="0" collapsed="false">
      <c r="A17" s="7" t="s">
        <v>130</v>
      </c>
      <c r="B17" s="7" t="s">
        <v>131</v>
      </c>
      <c r="C17" s="7" t="s">
        <v>132</v>
      </c>
      <c r="D17" s="7" t="s">
        <v>133</v>
      </c>
      <c r="E17" s="7" t="s">
        <v>134</v>
      </c>
    </row>
    <row r="18" customFormat="false" ht="15" hidden="false" customHeight="false" outlineLevel="0" collapsed="false">
      <c r="A18" s="7" t="s">
        <v>135</v>
      </c>
      <c r="B18" s="7" t="s">
        <v>136</v>
      </c>
      <c r="C18" s="7" t="s">
        <v>137</v>
      </c>
      <c r="D18" s="7" t="s">
        <v>138</v>
      </c>
      <c r="E18" s="7" t="s">
        <v>139</v>
      </c>
    </row>
    <row r="19" customFormat="false" ht="22.35" hidden="false" customHeight="false" outlineLevel="0" collapsed="false">
      <c r="A19" s="7" t="s">
        <v>140</v>
      </c>
      <c r="B19" s="7" t="s">
        <v>141</v>
      </c>
      <c r="C19" s="7" t="s">
        <v>142</v>
      </c>
      <c r="D19" s="7" t="s">
        <v>143</v>
      </c>
      <c r="E19" s="7" t="s">
        <v>144</v>
      </c>
    </row>
    <row r="20" customFormat="false" ht="15" hidden="false" customHeight="false" outlineLevel="0" collapsed="false">
      <c r="A20" s="7" t="s">
        <v>145</v>
      </c>
      <c r="B20" s="7" t="s">
        <v>146</v>
      </c>
      <c r="C20" s="7" t="s">
        <v>147</v>
      </c>
      <c r="D20" s="7" t="s">
        <v>68</v>
      </c>
      <c r="E20" s="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31.5" hidden="false" customHeight="true" outlineLevel="0" collapsed="false">
      <c r="A4" s="6" t="s">
        <v>33</v>
      </c>
      <c r="B4" s="6" t="s">
        <v>150</v>
      </c>
      <c r="C4" s="6" t="s">
        <v>151</v>
      </c>
      <c r="D4" s="6" t="s">
        <v>152</v>
      </c>
      <c r="E4" s="6" t="s">
        <v>153</v>
      </c>
      <c r="F4" s="6" t="s">
        <v>154</v>
      </c>
      <c r="G4" s="6" t="s">
        <v>155</v>
      </c>
    </row>
    <row r="5" customFormat="false" ht="22.35" hidden="false" customHeight="false" outlineLevel="0" collapsed="false">
      <c r="A5" s="7" t="s">
        <v>156</v>
      </c>
      <c r="B5" s="7" t="s">
        <v>157</v>
      </c>
      <c r="C5" s="7" t="s">
        <v>80</v>
      </c>
      <c r="D5" s="8" t="s">
        <v>158</v>
      </c>
      <c r="E5" s="9" t="n">
        <v>5</v>
      </c>
      <c r="F5" s="8" t="str">
        <f aca="false">INDEX(Echelles!$B$5:$B$9,E5)</f>
        <v>Critique</v>
      </c>
      <c r="G5" s="7" t="s">
        <v>159</v>
      </c>
    </row>
    <row r="6" customFormat="false" ht="22.35" hidden="false" customHeight="false" outlineLevel="0" collapsed="false">
      <c r="A6" s="7" t="s">
        <v>160</v>
      </c>
      <c r="B6" s="7" t="s">
        <v>161</v>
      </c>
      <c r="C6" s="7" t="s">
        <v>48</v>
      </c>
      <c r="D6" s="8" t="s">
        <v>162</v>
      </c>
      <c r="E6" s="9" t="n">
        <v>5</v>
      </c>
      <c r="F6" s="8" t="str">
        <f aca="false">INDEX(Echelles!$B$5:$B$9,E6)</f>
        <v>Critique</v>
      </c>
      <c r="G6" s="7" t="s">
        <v>163</v>
      </c>
    </row>
    <row r="7" customFormat="false" ht="22.35" hidden="false" customHeight="false" outlineLevel="0" collapsed="false">
      <c r="A7" s="7" t="s">
        <v>164</v>
      </c>
      <c r="B7" s="7" t="s">
        <v>165</v>
      </c>
      <c r="C7" s="7" t="s">
        <v>38</v>
      </c>
      <c r="D7" s="8" t="s">
        <v>166</v>
      </c>
      <c r="E7" s="9" t="n">
        <v>4</v>
      </c>
      <c r="F7" s="8" t="str">
        <f aca="false">INDEX(Echelles!$B$5:$B$9,E7)</f>
        <v>Majeur</v>
      </c>
      <c r="G7" s="7" t="s">
        <v>167</v>
      </c>
    </row>
    <row r="8" customFormat="false" ht="22.35" hidden="false" customHeight="false" outlineLevel="0" collapsed="false">
      <c r="A8" s="7" t="s">
        <v>168</v>
      </c>
      <c r="B8" s="7" t="s">
        <v>169</v>
      </c>
      <c r="C8" s="7" t="s">
        <v>43</v>
      </c>
      <c r="D8" s="8" t="s">
        <v>170</v>
      </c>
      <c r="E8" s="9" t="n">
        <v>5</v>
      </c>
      <c r="F8" s="8" t="str">
        <f aca="false">INDEX(Echelles!$B$5:$B$9,E8)</f>
        <v>Critique</v>
      </c>
      <c r="G8" s="7" t="s">
        <v>171</v>
      </c>
    </row>
    <row r="9" customFormat="false" ht="22.35" hidden="false" customHeight="false" outlineLevel="0" collapsed="false">
      <c r="A9" s="7" t="s">
        <v>172</v>
      </c>
      <c r="B9" s="7" t="s">
        <v>173</v>
      </c>
      <c r="C9" s="7" t="s">
        <v>174</v>
      </c>
      <c r="D9" s="8" t="s">
        <v>170</v>
      </c>
      <c r="E9" s="9" t="n">
        <v>4</v>
      </c>
      <c r="F9" s="8" t="str">
        <f aca="false">INDEX(Echelles!$B$5:$B$9,E9)</f>
        <v>Majeur</v>
      </c>
      <c r="G9" s="7" t="s">
        <v>175</v>
      </c>
    </row>
    <row r="10" customFormat="false" ht="22.35" hidden="false" customHeight="false" outlineLevel="0" collapsed="false">
      <c r="A10" s="7" t="s">
        <v>176</v>
      </c>
      <c r="B10" s="7" t="s">
        <v>177</v>
      </c>
      <c r="C10" s="7" t="s">
        <v>63</v>
      </c>
      <c r="D10" s="8" t="s">
        <v>178</v>
      </c>
      <c r="E10" s="9" t="n">
        <v>3</v>
      </c>
      <c r="F10" s="8" t="str">
        <f aca="false">INDEX(Echelles!$B$5:$B$9,E10)</f>
        <v>Modéré</v>
      </c>
      <c r="G10" s="7" t="s">
        <v>179</v>
      </c>
    </row>
    <row r="11" customFormat="false" ht="22.35" hidden="false" customHeight="false" outlineLevel="0" collapsed="false">
      <c r="A11" s="7" t="s">
        <v>180</v>
      </c>
      <c r="B11" s="7" t="s">
        <v>181</v>
      </c>
      <c r="C11" s="7" t="s">
        <v>182</v>
      </c>
      <c r="D11" s="8" t="s">
        <v>183</v>
      </c>
      <c r="E11" s="9" t="n">
        <v>4</v>
      </c>
      <c r="F11" s="8" t="str">
        <f aca="false">INDEX(Echelles!$B$5:$B$9,E11)</f>
        <v>Majeur</v>
      </c>
      <c r="G11" s="7" t="s">
        <v>184</v>
      </c>
    </row>
    <row r="12" customFormat="false" ht="15" hidden="false" customHeight="false" outlineLevel="0" collapsed="false">
      <c r="A12" s="7" t="s">
        <v>185</v>
      </c>
      <c r="B12" s="7" t="s">
        <v>186</v>
      </c>
      <c r="C12" s="7" t="s">
        <v>133</v>
      </c>
      <c r="D12" s="8" t="s">
        <v>170</v>
      </c>
      <c r="E12" s="9" t="n">
        <v>5</v>
      </c>
      <c r="F12" s="8" t="str">
        <f aca="false">INDEX(Echelles!$B$5:$B$9,E12)</f>
        <v>Critique</v>
      </c>
      <c r="G12" s="7" t="s">
        <v>187</v>
      </c>
    </row>
    <row r="13" customFormat="false" ht="22.35" hidden="false" customHeight="false" outlineLevel="0" collapsed="false">
      <c r="A13" s="7" t="s">
        <v>188</v>
      </c>
      <c r="B13" s="7" t="s">
        <v>189</v>
      </c>
      <c r="C13" s="7" t="s">
        <v>38</v>
      </c>
      <c r="D13" s="8" t="s">
        <v>190</v>
      </c>
      <c r="E13" s="9" t="n">
        <v>4</v>
      </c>
      <c r="F13" s="8" t="str">
        <f aca="false">INDEX(Echelles!$B$5:$B$9,E13)</f>
        <v>Majeur</v>
      </c>
      <c r="G13" s="7" t="s">
        <v>191</v>
      </c>
    </row>
    <row r="14" customFormat="false" ht="22.35" hidden="false" customHeight="false" outlineLevel="0" collapsed="false">
      <c r="A14" s="7" t="s">
        <v>192</v>
      </c>
      <c r="B14" s="7" t="s">
        <v>193</v>
      </c>
      <c r="C14" s="7" t="s">
        <v>143</v>
      </c>
      <c r="D14" s="8" t="s">
        <v>158</v>
      </c>
      <c r="E14" s="9" t="n">
        <v>3</v>
      </c>
      <c r="F14" s="8" t="str">
        <f aca="false">INDEX(Echelles!$B$5:$B$9,E14)</f>
        <v>Modéré</v>
      </c>
      <c r="G14" s="7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50"/>
    <col collapsed="false" customWidth="true" hidden="false" outlineLevel="0" max="3" min="3" style="0" width="8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31.5" hidden="false" customHeight="true" outlineLevel="0" collapsed="false">
      <c r="A4" s="6" t="s">
        <v>197</v>
      </c>
      <c r="B4" s="6" t="s">
        <v>198</v>
      </c>
      <c r="C4" s="6" t="s">
        <v>199</v>
      </c>
      <c r="D4" s="6" t="s">
        <v>76</v>
      </c>
    </row>
    <row r="5" customFormat="false" ht="22.35" hidden="false" customHeight="false" outlineLevel="0" collapsed="false">
      <c r="A5" s="7" t="s">
        <v>200</v>
      </c>
      <c r="B5" s="7" t="s">
        <v>201</v>
      </c>
      <c r="C5" s="7" t="s">
        <v>202</v>
      </c>
      <c r="D5" s="7" t="s">
        <v>203</v>
      </c>
    </row>
    <row r="6" customFormat="false" ht="32.8" hidden="false" customHeight="false" outlineLevel="0" collapsed="false">
      <c r="A6" s="7" t="s">
        <v>204</v>
      </c>
      <c r="B6" s="7" t="s">
        <v>205</v>
      </c>
      <c r="C6" s="7" t="s">
        <v>206</v>
      </c>
      <c r="D6" s="7" t="s">
        <v>207</v>
      </c>
    </row>
    <row r="7" customFormat="false" ht="15" hidden="false" customHeight="false" outlineLevel="0" collapsed="false">
      <c r="A7" s="7" t="s">
        <v>208</v>
      </c>
      <c r="B7" s="7" t="s">
        <v>209</v>
      </c>
      <c r="C7" s="7" t="s">
        <v>210</v>
      </c>
      <c r="D7" s="7" t="s">
        <v>211</v>
      </c>
    </row>
    <row r="8" customFormat="false" ht="15" hidden="false" customHeight="false" outlineLevel="0" collapsed="false">
      <c r="A8" s="7" t="s">
        <v>212</v>
      </c>
      <c r="B8" s="7" t="s">
        <v>213</v>
      </c>
      <c r="C8" s="7" t="s">
        <v>214</v>
      </c>
      <c r="D8" s="7" t="s">
        <v>215</v>
      </c>
    </row>
    <row r="9" customFormat="false" ht="15" hidden="false" customHeight="false" outlineLevel="0" collapsed="false">
      <c r="A9" s="7" t="s">
        <v>216</v>
      </c>
      <c r="B9" s="7" t="s">
        <v>217</v>
      </c>
      <c r="C9" s="7" t="s">
        <v>218</v>
      </c>
      <c r="D9" s="7" t="s">
        <v>219</v>
      </c>
    </row>
    <row r="10" customFormat="false" ht="22.35" hidden="false" customHeight="false" outlineLevel="0" collapsed="false">
      <c r="A10" s="7" t="s">
        <v>220</v>
      </c>
      <c r="B10" s="7" t="s">
        <v>221</v>
      </c>
      <c r="C10" s="7" t="s">
        <v>222</v>
      </c>
      <c r="D10" s="7" t="s">
        <v>134</v>
      </c>
    </row>
    <row r="11" customFormat="false" ht="22.35" hidden="false" customHeight="false" outlineLevel="0" collapsed="false">
      <c r="A11" s="7" t="s">
        <v>223</v>
      </c>
      <c r="B11" s="7" t="s">
        <v>224</v>
      </c>
      <c r="C11" s="7" t="s">
        <v>225</v>
      </c>
      <c r="D11" s="7" t="s">
        <v>226</v>
      </c>
    </row>
    <row r="12" customFormat="false" ht="22.35" hidden="false" customHeight="false" outlineLevel="0" collapsed="false">
      <c r="A12" s="7" t="s">
        <v>227</v>
      </c>
      <c r="B12" s="7" t="s">
        <v>228</v>
      </c>
      <c r="C12" s="7" t="s">
        <v>229</v>
      </c>
      <c r="D12" s="7" t="s">
        <v>230</v>
      </c>
    </row>
    <row r="13" customFormat="false" ht="22.35" hidden="false" customHeight="false" outlineLevel="0" collapsed="false">
      <c r="A13" s="7" t="s">
        <v>231</v>
      </c>
      <c r="B13" s="7" t="s">
        <v>232</v>
      </c>
      <c r="C13" s="7" t="s">
        <v>233</v>
      </c>
      <c r="D13" s="7" t="s">
        <v>234</v>
      </c>
    </row>
    <row r="14" customFormat="false" ht="22.35" hidden="false" customHeight="false" outlineLevel="0" collapsed="false">
      <c r="A14" s="7" t="s">
        <v>235</v>
      </c>
      <c r="B14" s="7" t="s">
        <v>236</v>
      </c>
      <c r="C14" s="7" t="s">
        <v>237</v>
      </c>
      <c r="D14" s="7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1" t="s">
        <v>239</v>
      </c>
    </row>
    <row r="3" customFormat="false" ht="31.5" hidden="false" customHeight="true" outlineLevel="0" collapsed="false">
      <c r="A3" s="6" t="s">
        <v>33</v>
      </c>
      <c r="B3" s="6" t="s">
        <v>240</v>
      </c>
      <c r="C3" s="6" t="s">
        <v>241</v>
      </c>
      <c r="D3" s="6" t="s">
        <v>242</v>
      </c>
      <c r="E3" s="6" t="s">
        <v>243</v>
      </c>
      <c r="F3" s="6" t="s">
        <v>244</v>
      </c>
      <c r="G3" s="6" t="s">
        <v>245</v>
      </c>
    </row>
    <row r="4" customFormat="false" ht="22.35" hidden="false" customHeight="false" outlineLevel="0" collapsed="false">
      <c r="A4" s="7" t="s">
        <v>246</v>
      </c>
      <c r="B4" s="7" t="s">
        <v>247</v>
      </c>
      <c r="C4" s="7" t="s">
        <v>248</v>
      </c>
      <c r="D4" s="7" t="s">
        <v>249</v>
      </c>
      <c r="E4" s="7" t="s">
        <v>250</v>
      </c>
      <c r="F4" s="7" t="s">
        <v>251</v>
      </c>
      <c r="G4" s="7" t="s">
        <v>252</v>
      </c>
    </row>
    <row r="5" customFormat="false" ht="22.35" hidden="false" customHeight="false" outlineLevel="0" collapsed="false">
      <c r="A5" s="7" t="s">
        <v>253</v>
      </c>
      <c r="B5" s="7" t="s">
        <v>254</v>
      </c>
      <c r="C5" s="7" t="s">
        <v>255</v>
      </c>
      <c r="D5" s="7" t="s">
        <v>256</v>
      </c>
      <c r="E5" s="7" t="s">
        <v>250</v>
      </c>
      <c r="F5" s="7" t="s">
        <v>251</v>
      </c>
      <c r="G5" s="7" t="s">
        <v>257</v>
      </c>
    </row>
    <row r="6" customFormat="false" ht="22.35" hidden="false" customHeight="false" outlineLevel="0" collapsed="false">
      <c r="A6" s="7" t="s">
        <v>258</v>
      </c>
      <c r="B6" s="7" t="s">
        <v>259</v>
      </c>
      <c r="C6" s="7" t="s">
        <v>260</v>
      </c>
      <c r="D6" s="7" t="s">
        <v>261</v>
      </c>
      <c r="E6" s="7" t="s">
        <v>250</v>
      </c>
      <c r="F6" s="7" t="s">
        <v>251</v>
      </c>
      <c r="G6" s="7" t="s">
        <v>262</v>
      </c>
    </row>
    <row r="7" customFormat="false" ht="22.35" hidden="false" customHeight="false" outlineLevel="0" collapsed="false">
      <c r="A7" s="7" t="s">
        <v>263</v>
      </c>
      <c r="B7" s="7" t="s">
        <v>264</v>
      </c>
      <c r="C7" s="7" t="s">
        <v>265</v>
      </c>
      <c r="D7" s="7" t="s">
        <v>261</v>
      </c>
      <c r="E7" s="7" t="s">
        <v>266</v>
      </c>
      <c r="F7" s="7" t="s">
        <v>251</v>
      </c>
      <c r="G7" s="7" t="s">
        <v>267</v>
      </c>
    </row>
    <row r="8" customFormat="false" ht="22.35" hidden="false" customHeight="false" outlineLevel="0" collapsed="false">
      <c r="A8" s="7" t="s">
        <v>268</v>
      </c>
      <c r="B8" s="7" t="s">
        <v>269</v>
      </c>
      <c r="C8" s="7" t="s">
        <v>270</v>
      </c>
      <c r="D8" s="7" t="s">
        <v>256</v>
      </c>
      <c r="E8" s="7" t="s">
        <v>266</v>
      </c>
      <c r="F8" s="7" t="s">
        <v>251</v>
      </c>
      <c r="G8" s="7" t="s">
        <v>271</v>
      </c>
    </row>
    <row r="9" customFormat="false" ht="15" hidden="false" customHeight="false" outlineLevel="0" collapsed="false">
      <c r="A9" s="7" t="s">
        <v>272</v>
      </c>
      <c r="B9" s="7" t="s">
        <v>273</v>
      </c>
      <c r="C9" s="7" t="s">
        <v>274</v>
      </c>
      <c r="D9" s="7" t="s">
        <v>275</v>
      </c>
      <c r="E9" s="7" t="s">
        <v>266</v>
      </c>
      <c r="F9" s="7" t="s">
        <v>276</v>
      </c>
      <c r="G9" s="7" t="s">
        <v>277</v>
      </c>
    </row>
    <row r="10" customFormat="false" ht="22.35" hidden="false" customHeight="false" outlineLevel="0" collapsed="false">
      <c r="A10" s="7" t="s">
        <v>278</v>
      </c>
      <c r="B10" s="7" t="s">
        <v>279</v>
      </c>
      <c r="C10" s="7" t="s">
        <v>280</v>
      </c>
      <c r="D10" s="7" t="s">
        <v>275</v>
      </c>
      <c r="E10" s="7" t="s">
        <v>281</v>
      </c>
      <c r="F10" s="7" t="s">
        <v>251</v>
      </c>
      <c r="G10" s="7" t="s">
        <v>282</v>
      </c>
    </row>
    <row r="11" customFormat="false" ht="22.35" hidden="false" customHeight="false" outlineLevel="0" collapsed="false">
      <c r="A11" s="7" t="s">
        <v>283</v>
      </c>
      <c r="B11" s="7" t="s">
        <v>284</v>
      </c>
      <c r="C11" s="7" t="s">
        <v>285</v>
      </c>
      <c r="D11" s="7" t="s">
        <v>261</v>
      </c>
      <c r="E11" s="7" t="s">
        <v>281</v>
      </c>
      <c r="F11" s="7" t="s">
        <v>251</v>
      </c>
      <c r="G11" s="7" t="s">
        <v>286</v>
      </c>
    </row>
    <row r="12" customFormat="false" ht="22.35" hidden="false" customHeight="false" outlineLevel="0" collapsed="false">
      <c r="A12" s="7" t="s">
        <v>287</v>
      </c>
      <c r="B12" s="7" t="s">
        <v>288</v>
      </c>
      <c r="C12" s="7" t="s">
        <v>289</v>
      </c>
      <c r="D12" s="7" t="s">
        <v>261</v>
      </c>
      <c r="E12" s="7" t="s">
        <v>290</v>
      </c>
      <c r="F12" s="7" t="s">
        <v>291</v>
      </c>
      <c r="G12" s="7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293</v>
      </c>
    </row>
    <row r="2" customFormat="false" ht="15" hidden="false" customHeight="false" outlineLevel="0" collapsed="false">
      <c r="A2" s="2" t="s">
        <v>294</v>
      </c>
    </row>
    <row r="4" customFormat="false" ht="31.5" hidden="false" customHeight="true" outlineLevel="0" collapsed="false">
      <c r="A4" s="6" t="s">
        <v>295</v>
      </c>
      <c r="B4" s="6" t="s">
        <v>240</v>
      </c>
      <c r="C4" s="6" t="s">
        <v>296</v>
      </c>
      <c r="D4" s="6" t="s">
        <v>297</v>
      </c>
      <c r="E4" s="6" t="s">
        <v>298</v>
      </c>
      <c r="F4" s="6" t="s">
        <v>299</v>
      </c>
    </row>
    <row r="5" customFormat="false" ht="15" hidden="false" customHeight="false" outlineLevel="0" collapsed="false">
      <c r="A5" s="7" t="s">
        <v>300</v>
      </c>
      <c r="B5" s="7" t="s">
        <v>246</v>
      </c>
      <c r="C5" s="7" t="s">
        <v>301</v>
      </c>
      <c r="D5" s="7" t="s">
        <v>302</v>
      </c>
      <c r="E5" s="9" t="n">
        <v>4</v>
      </c>
      <c r="F5" s="8" t="str">
        <f aca="false">IF(E5&gt;=2,"Oui","Non")</f>
        <v>Oui</v>
      </c>
    </row>
    <row r="6" customFormat="false" ht="15" hidden="false" customHeight="false" outlineLevel="0" collapsed="false">
      <c r="A6" s="7" t="s">
        <v>303</v>
      </c>
      <c r="B6" s="7" t="s">
        <v>253</v>
      </c>
      <c r="C6" s="7" t="s">
        <v>304</v>
      </c>
      <c r="D6" s="7" t="s">
        <v>305</v>
      </c>
      <c r="E6" s="9" t="n">
        <v>4</v>
      </c>
      <c r="F6" s="8" t="str">
        <f aca="false">IF(E6&gt;=2,"Oui","Non")</f>
        <v>Oui</v>
      </c>
    </row>
    <row r="7" customFormat="false" ht="15" hidden="false" customHeight="false" outlineLevel="0" collapsed="false">
      <c r="A7" s="7" t="s">
        <v>306</v>
      </c>
      <c r="B7" s="7" t="s">
        <v>268</v>
      </c>
      <c r="C7" s="7" t="s">
        <v>307</v>
      </c>
      <c r="D7" s="7" t="s">
        <v>160</v>
      </c>
      <c r="E7" s="9" t="n">
        <v>3</v>
      </c>
      <c r="F7" s="8" t="str">
        <f aca="false">IF(E7&gt;=2,"Oui","Non")</f>
        <v>Oui</v>
      </c>
    </row>
    <row r="8" customFormat="false" ht="22.35" hidden="false" customHeight="false" outlineLevel="0" collapsed="false">
      <c r="A8" s="7" t="s">
        <v>308</v>
      </c>
      <c r="B8" s="7" t="s">
        <v>246</v>
      </c>
      <c r="C8" s="7" t="s">
        <v>309</v>
      </c>
      <c r="D8" s="7" t="s">
        <v>160</v>
      </c>
      <c r="E8" s="9" t="n">
        <v>3</v>
      </c>
      <c r="F8" s="8" t="str">
        <f aca="false">IF(E8&gt;=2,"Oui","Non")</f>
        <v>Oui</v>
      </c>
    </row>
    <row r="9" customFormat="false" ht="15" hidden="false" customHeight="false" outlineLevel="0" collapsed="false">
      <c r="A9" s="7" t="s">
        <v>310</v>
      </c>
      <c r="B9" s="7" t="s">
        <v>258</v>
      </c>
      <c r="C9" s="7" t="s">
        <v>311</v>
      </c>
      <c r="D9" s="7" t="s">
        <v>312</v>
      </c>
      <c r="E9" s="9" t="n">
        <v>4</v>
      </c>
      <c r="F9" s="8" t="str">
        <f aca="false">IF(E9&gt;=2,"Oui","Non")</f>
        <v>Oui</v>
      </c>
    </row>
    <row r="10" customFormat="false" ht="15" hidden="false" customHeight="false" outlineLevel="0" collapsed="false">
      <c r="A10" s="7" t="s">
        <v>313</v>
      </c>
      <c r="B10" s="7" t="s">
        <v>283</v>
      </c>
      <c r="C10" s="7" t="s">
        <v>314</v>
      </c>
      <c r="D10" s="7" t="s">
        <v>172</v>
      </c>
      <c r="E10" s="9" t="n">
        <v>3</v>
      </c>
      <c r="F10" s="8" t="str">
        <f aca="false">IF(E10&gt;=2,"Oui","Non")</f>
        <v>Oui</v>
      </c>
    </row>
    <row r="11" customFormat="false" ht="15" hidden="false" customHeight="false" outlineLevel="0" collapsed="false">
      <c r="A11" s="7" t="s">
        <v>315</v>
      </c>
      <c r="B11" s="7" t="s">
        <v>278</v>
      </c>
      <c r="C11" s="7" t="s">
        <v>316</v>
      </c>
      <c r="D11" s="7" t="s">
        <v>188</v>
      </c>
      <c r="E11" s="9" t="n">
        <v>3</v>
      </c>
      <c r="F11" s="8" t="str">
        <f aca="false">IF(E11&gt;=2,"Oui","Non")</f>
        <v>Oui</v>
      </c>
    </row>
    <row r="12" customFormat="false" ht="15" hidden="false" customHeight="false" outlineLevel="0" collapsed="false">
      <c r="A12" s="7" t="s">
        <v>317</v>
      </c>
      <c r="B12" s="7" t="s">
        <v>263</v>
      </c>
      <c r="C12" s="7" t="s">
        <v>318</v>
      </c>
      <c r="D12" s="7" t="s">
        <v>305</v>
      </c>
      <c r="E12" s="9" t="n">
        <v>2</v>
      </c>
      <c r="F12" s="8" t="str">
        <f aca="false">IF(E12&gt;=2,"Oui","Non")</f>
        <v>Oui</v>
      </c>
    </row>
    <row r="13" customFormat="false" ht="15" hidden="false" customHeight="false" outlineLevel="0" collapsed="false">
      <c r="A13" s="7" t="s">
        <v>319</v>
      </c>
      <c r="B13" s="7" t="s">
        <v>272</v>
      </c>
      <c r="C13" s="7" t="s">
        <v>320</v>
      </c>
      <c r="D13" s="7" t="s">
        <v>164</v>
      </c>
      <c r="E13" s="9" t="n">
        <v>2</v>
      </c>
      <c r="F13" s="8" t="str">
        <f aca="false">IF(E13&gt;=2,"Oui","Non")</f>
        <v>Oui</v>
      </c>
    </row>
    <row r="14" customFormat="false" ht="15" hidden="false" customHeight="false" outlineLevel="0" collapsed="false">
      <c r="A14" s="7" t="s">
        <v>321</v>
      </c>
      <c r="B14" s="7" t="s">
        <v>253</v>
      </c>
      <c r="C14" s="7" t="s">
        <v>322</v>
      </c>
      <c r="D14" s="7" t="s">
        <v>164</v>
      </c>
      <c r="E14" s="9" t="n">
        <v>2</v>
      </c>
      <c r="F14" s="8" t="str">
        <f aca="false">IF(E14&gt;=2,"Oui","Non")</f>
        <v>Oui</v>
      </c>
    </row>
    <row r="15" customFormat="false" ht="15" hidden="false" customHeight="false" outlineLevel="0" collapsed="false">
      <c r="A15" s="7" t="s">
        <v>323</v>
      </c>
      <c r="B15" s="7" t="s">
        <v>246</v>
      </c>
      <c r="C15" s="7" t="s">
        <v>324</v>
      </c>
      <c r="D15" s="7" t="s">
        <v>168</v>
      </c>
      <c r="E15" s="9" t="n">
        <v>2</v>
      </c>
      <c r="F15" s="8" t="str">
        <f aca="false">IF(E15&gt;=2,"Oui","Non")</f>
        <v>Oui</v>
      </c>
    </row>
    <row r="16" customFormat="false" ht="15" hidden="false" customHeight="false" outlineLevel="0" collapsed="false">
      <c r="A16" s="7" t="s">
        <v>325</v>
      </c>
      <c r="B16" s="7" t="s">
        <v>287</v>
      </c>
      <c r="C16" s="7" t="s">
        <v>326</v>
      </c>
      <c r="D16" s="7" t="s">
        <v>192</v>
      </c>
      <c r="E16" s="9" t="n">
        <v>1</v>
      </c>
      <c r="F16" s="8" t="str">
        <f aca="false">IF(E16&gt;=2,"Oui","Non")</f>
        <v>Non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90"/>
  </cols>
  <sheetData>
    <row r="1" customFormat="false" ht="17.35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4" customFormat="false" ht="31.5" hidden="false" customHeight="true" outlineLevel="0" collapsed="false">
      <c r="A4" s="6" t="s">
        <v>329</v>
      </c>
      <c r="B4" s="6" t="s">
        <v>330</v>
      </c>
      <c r="C4" s="6" t="s">
        <v>331</v>
      </c>
      <c r="D4" s="6" t="s">
        <v>332</v>
      </c>
      <c r="E4" s="6" t="s">
        <v>333</v>
      </c>
      <c r="F4" s="6" t="s">
        <v>334</v>
      </c>
      <c r="G4" s="6" t="s">
        <v>335</v>
      </c>
      <c r="H4" s="6" t="s">
        <v>154</v>
      </c>
      <c r="I4" s="6" t="s">
        <v>336</v>
      </c>
    </row>
    <row r="5" customFormat="false" ht="22.35" hidden="false" customHeight="false" outlineLevel="0" collapsed="false">
      <c r="A5" s="7" t="s">
        <v>337</v>
      </c>
      <c r="B5" s="7" t="s">
        <v>338</v>
      </c>
      <c r="C5" s="9" t="n">
        <v>4</v>
      </c>
      <c r="D5" s="9" t="n">
        <v>3</v>
      </c>
      <c r="E5" s="9" t="n">
        <v>2</v>
      </c>
      <c r="F5" s="9" t="n">
        <v>2</v>
      </c>
      <c r="G5" s="8" t="n">
        <f aca="false">ROUND((C5*D5)/(E5*F5),2)</f>
        <v>3</v>
      </c>
      <c r="H5" s="8" t="str">
        <f aca="false">IF(G5&gt;=2,"Critique",IF(G5&gt;=1,"Élevé",IF(G5&gt;=0.5,"Moyen","Faible")))</f>
        <v>Critique</v>
      </c>
      <c r="I5" s="7" t="s">
        <v>339</v>
      </c>
    </row>
    <row r="6" customFormat="false" ht="22.35" hidden="false" customHeight="false" outlineLevel="0" collapsed="false">
      <c r="A6" s="7" t="s">
        <v>340</v>
      </c>
      <c r="B6" s="7" t="s">
        <v>341</v>
      </c>
      <c r="C6" s="9" t="n">
        <v>2</v>
      </c>
      <c r="D6" s="9" t="n">
        <v>4</v>
      </c>
      <c r="E6" s="9" t="n">
        <v>2</v>
      </c>
      <c r="F6" s="9" t="n">
        <v>1</v>
      </c>
      <c r="G6" s="8" t="n">
        <f aca="false">ROUND((C6*D6)/(E6*F6),2)</f>
        <v>4</v>
      </c>
      <c r="H6" s="8" t="str">
        <f aca="false">IF(G6&gt;=2,"Critique",IF(G6&gt;=1,"Élevé",IF(G6&gt;=0.5,"Moyen","Faible")))</f>
        <v>Critique</v>
      </c>
      <c r="I6" s="7" t="s">
        <v>342</v>
      </c>
    </row>
    <row r="7" customFormat="false" ht="22.35" hidden="false" customHeight="false" outlineLevel="0" collapsed="false">
      <c r="A7" s="7" t="s">
        <v>343</v>
      </c>
      <c r="B7" s="7" t="s">
        <v>344</v>
      </c>
      <c r="C7" s="9" t="n">
        <v>4</v>
      </c>
      <c r="D7" s="9" t="n">
        <v>4</v>
      </c>
      <c r="E7" s="9" t="n">
        <v>3</v>
      </c>
      <c r="F7" s="9" t="n">
        <v>3</v>
      </c>
      <c r="G7" s="8" t="n">
        <f aca="false">ROUND((C7*D7)/(E7*F7),2)</f>
        <v>1.78</v>
      </c>
      <c r="H7" s="8" t="str">
        <f aca="false">IF(G7&gt;=2,"Critique",IF(G7&gt;=1,"Élevé",IF(G7&gt;=0.5,"Moyen","Faible")))</f>
        <v>Élevé</v>
      </c>
      <c r="I7" s="7" t="s">
        <v>345</v>
      </c>
    </row>
    <row r="8" customFormat="false" ht="22.35" hidden="false" customHeight="false" outlineLevel="0" collapsed="false">
      <c r="A8" s="7" t="s">
        <v>346</v>
      </c>
      <c r="B8" s="7" t="s">
        <v>344</v>
      </c>
      <c r="C8" s="9" t="n">
        <v>3</v>
      </c>
      <c r="D8" s="9" t="n">
        <v>3</v>
      </c>
      <c r="E8" s="9" t="n">
        <v>3</v>
      </c>
      <c r="F8" s="9" t="n">
        <v>2</v>
      </c>
      <c r="G8" s="8" t="n">
        <f aca="false">ROUND((C8*D8)/(E8*F8),2)</f>
        <v>1.5</v>
      </c>
      <c r="H8" s="8" t="str">
        <f aca="false">IF(G8&gt;=2,"Critique",IF(G8&gt;=1,"Élevé",IF(G8&gt;=0.5,"Moyen","Faible")))</f>
        <v>Élevé</v>
      </c>
      <c r="I8" s="7" t="s">
        <v>347</v>
      </c>
    </row>
    <row r="9" customFormat="false" ht="15" hidden="false" customHeight="false" outlineLevel="0" collapsed="false">
      <c r="A9" s="7" t="s">
        <v>348</v>
      </c>
      <c r="B9" s="7" t="s">
        <v>349</v>
      </c>
      <c r="C9" s="9" t="n">
        <v>3</v>
      </c>
      <c r="D9" s="9" t="n">
        <v>3</v>
      </c>
      <c r="E9" s="9" t="n">
        <v>2</v>
      </c>
      <c r="F9" s="9" t="n">
        <v>3</v>
      </c>
      <c r="G9" s="8" t="n">
        <f aca="false">ROUND((C9*D9)/(E9*F9),2)</f>
        <v>1.5</v>
      </c>
      <c r="H9" s="8" t="str">
        <f aca="false">IF(G9&gt;=2,"Critique",IF(G9&gt;=1,"Élevé",IF(G9&gt;=0.5,"Moyen","Faible")))</f>
        <v>Élevé</v>
      </c>
      <c r="I9" s="7" t="s">
        <v>350</v>
      </c>
    </row>
    <row r="10" customFormat="false" ht="15" hidden="false" customHeight="false" outlineLevel="0" collapsed="false">
      <c r="A10" s="7" t="s">
        <v>351</v>
      </c>
      <c r="B10" s="7" t="s">
        <v>352</v>
      </c>
      <c r="C10" s="9" t="n">
        <v>4</v>
      </c>
      <c r="D10" s="9" t="n">
        <v>4</v>
      </c>
      <c r="E10" s="9" t="n">
        <v>4</v>
      </c>
      <c r="F10" s="9" t="n">
        <v>3</v>
      </c>
      <c r="G10" s="8" t="n">
        <f aca="false">ROUND((C10*D10)/(E10*F10),2)</f>
        <v>1.33</v>
      </c>
      <c r="H10" s="8" t="str">
        <f aca="false">IF(G10&gt;=2,"Critique",IF(G10&gt;=1,"Élevé",IF(G10&gt;=0.5,"Moyen","Faible")))</f>
        <v>Élevé</v>
      </c>
      <c r="I10" s="7" t="s">
        <v>353</v>
      </c>
    </row>
    <row r="11" customFormat="false" ht="15" hidden="false" customHeight="false" outlineLevel="0" collapsed="false">
      <c r="A11" s="7" t="s">
        <v>354</v>
      </c>
      <c r="B11" s="7" t="s">
        <v>352</v>
      </c>
      <c r="C11" s="9" t="n">
        <v>3</v>
      </c>
      <c r="D11" s="9" t="n">
        <v>4</v>
      </c>
      <c r="E11" s="9" t="n">
        <v>4</v>
      </c>
      <c r="F11" s="9" t="n">
        <v>3</v>
      </c>
      <c r="G11" s="8" t="n">
        <f aca="false">ROUND((C11*D11)/(E11*F11),2)</f>
        <v>1</v>
      </c>
      <c r="H11" s="8" t="str">
        <f aca="false">IF(G11&gt;=2,"Critique",IF(G11&gt;=1,"Élevé",IF(G11&gt;=0.5,"Moyen","Faible")))</f>
        <v>Élevé</v>
      </c>
      <c r="I11" s="7" t="s">
        <v>355</v>
      </c>
    </row>
    <row r="12" customFormat="false" ht="22.35" hidden="false" customHeight="false" outlineLevel="0" collapsed="false">
      <c r="A12" s="7" t="s">
        <v>356</v>
      </c>
      <c r="B12" s="7" t="s">
        <v>357</v>
      </c>
      <c r="C12" s="9" t="n">
        <v>2</v>
      </c>
      <c r="D12" s="9" t="n">
        <v>3</v>
      </c>
      <c r="E12" s="9" t="n">
        <v>3</v>
      </c>
      <c r="F12" s="9" t="n">
        <v>3</v>
      </c>
      <c r="G12" s="8" t="n">
        <f aca="false">ROUND((C12*D12)/(E12*F12),2)</f>
        <v>0.67</v>
      </c>
      <c r="H12" s="8" t="str">
        <f aca="false">IF(G12&gt;=2,"Critique",IF(G12&gt;=1,"Élevé",IF(G12&gt;=0.5,"Moyen","Faible")))</f>
        <v>Moyen</v>
      </c>
      <c r="I12" s="7" t="s">
        <v>358</v>
      </c>
    </row>
    <row r="13" customFormat="false" ht="15" hidden="false" customHeight="false" outlineLevel="0" collapsed="false">
      <c r="A13" s="7" t="s">
        <v>359</v>
      </c>
      <c r="B13" s="7" t="s">
        <v>360</v>
      </c>
      <c r="C13" s="9" t="n">
        <v>1</v>
      </c>
      <c r="D13" s="9" t="n">
        <v>2</v>
      </c>
      <c r="E13" s="9" t="n">
        <v>2</v>
      </c>
      <c r="F13" s="9" t="n">
        <v>2</v>
      </c>
      <c r="G13" s="8" t="n">
        <f aca="false">ROUND((C13*D13)/(E13*F13),2)</f>
        <v>0.5</v>
      </c>
      <c r="H13" s="8" t="str">
        <f aca="false">IF(G13&gt;=2,"Critique",IF(G13&gt;=1,"Élevé",IF(G13&gt;=0.5,"Moyen","Faible")))</f>
        <v>Moyen</v>
      </c>
      <c r="I13" s="7" t="s">
        <v>361</v>
      </c>
    </row>
    <row r="14" customFormat="false" ht="15" hidden="false" customHeight="false" outlineLevel="0" collapsed="false">
      <c r="A14" s="7" t="s">
        <v>362</v>
      </c>
      <c r="B14" s="7" t="s">
        <v>363</v>
      </c>
      <c r="C14" s="9" t="n">
        <v>2</v>
      </c>
      <c r="D14" s="9" t="n">
        <v>2</v>
      </c>
      <c r="E14" s="9" t="n">
        <v>3</v>
      </c>
      <c r="F14" s="9" t="n">
        <v>3</v>
      </c>
      <c r="G14" s="8" t="n">
        <f aca="false">ROUND((C14*D14)/(E14*F14),2)</f>
        <v>0.44</v>
      </c>
      <c r="H14" s="8" t="str">
        <f aca="false">IF(G14&gt;=2,"Critique",IF(G14&gt;=1,"Élevé",IF(G14&gt;=0.5,"Moyen","Faible")))</f>
        <v>Faible</v>
      </c>
      <c r="I14" s="7" t="s">
        <v>364</v>
      </c>
    </row>
    <row r="15" customFormat="false" ht="15" hidden="false" customHeight="false" outlineLevel="0" collapsed="false">
      <c r="A15" s="7" t="s">
        <v>365</v>
      </c>
      <c r="B15" s="7" t="s">
        <v>366</v>
      </c>
      <c r="C15" s="9" t="n">
        <v>2</v>
      </c>
      <c r="D15" s="9" t="n">
        <v>2</v>
      </c>
      <c r="E15" s="9" t="n">
        <v>4</v>
      </c>
      <c r="F15" s="9" t="n">
        <v>3</v>
      </c>
      <c r="G15" s="8" t="n">
        <f aca="false">ROUND((C15*D15)/(E15*F15),2)</f>
        <v>0.33</v>
      </c>
      <c r="H15" s="8" t="str">
        <f aca="false">IF(G15&gt;=2,"Critique",IF(G15&gt;=1,"Élevé",IF(G15&gt;=0.5,"Moyen","Faible")))</f>
        <v>Faible</v>
      </c>
      <c r="I15" s="7" t="s">
        <v>367</v>
      </c>
    </row>
  </sheetData>
  <conditionalFormatting sqref="H5:H15">
    <cfRule type="cellIs" priority="2" operator="equal" aboveAverage="0" equalAverage="0" bottom="0" percent="0" rank="0" text="" dxfId="0">
      <formula>"Critique"</formula>
    </cfRule>
    <cfRule type="cellIs" priority="3" operator="equal" aboveAverage="0" equalAverage="0" bottom="0" percent="0" rank="0" text="" dxfId="1">
      <formula>"Élevé"</formula>
    </cfRule>
    <cfRule type="cellIs" priority="4" operator="equal" aboveAverage="0" equalAverage="0" bottom="0" percent="0" rank="0" text="" dxfId="2">
      <formula>"Moyen"</formula>
    </cfRule>
    <cfRule type="cellIs" priority="5" operator="equal" aboveAverage="0" equalAverage="0" bottom="0" percent="0" rank="0" text="" dxfId="3">
      <formula>"Faible"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9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2" t="s">
        <v>369</v>
      </c>
    </row>
    <row r="3" customFormat="false" ht="31.5" hidden="false" customHeight="true" outlineLevel="0" collapsed="false">
      <c r="A3" s="6" t="s">
        <v>33</v>
      </c>
      <c r="B3" s="6" t="s">
        <v>370</v>
      </c>
      <c r="C3" s="6" t="s">
        <v>371</v>
      </c>
      <c r="D3" s="6" t="s">
        <v>372</v>
      </c>
      <c r="E3" s="6" t="s">
        <v>373</v>
      </c>
      <c r="F3" s="6" t="s">
        <v>374</v>
      </c>
      <c r="G3" s="6" t="s">
        <v>375</v>
      </c>
    </row>
    <row r="4" customFormat="false" ht="22.35" hidden="false" customHeight="false" outlineLevel="0" collapsed="false">
      <c r="A4" s="7" t="s">
        <v>376</v>
      </c>
      <c r="B4" s="7" t="s">
        <v>377</v>
      </c>
      <c r="C4" s="7" t="s">
        <v>378</v>
      </c>
      <c r="D4" s="7" t="s">
        <v>305</v>
      </c>
      <c r="E4" s="7" t="s">
        <v>379</v>
      </c>
      <c r="F4" s="8" t="n">
        <v>5</v>
      </c>
      <c r="G4" s="7" t="s">
        <v>380</v>
      </c>
    </row>
    <row r="5" customFormat="false" ht="22.35" hidden="false" customHeight="false" outlineLevel="0" collapsed="false">
      <c r="A5" s="7" t="s">
        <v>381</v>
      </c>
      <c r="B5" s="7" t="s">
        <v>382</v>
      </c>
      <c r="C5" s="7" t="s">
        <v>383</v>
      </c>
      <c r="D5" s="7" t="s">
        <v>160</v>
      </c>
      <c r="E5" s="7" t="s">
        <v>384</v>
      </c>
      <c r="F5" s="8" t="n">
        <v>5</v>
      </c>
      <c r="G5" s="7" t="s">
        <v>385</v>
      </c>
    </row>
    <row r="6" customFormat="false" ht="22.35" hidden="false" customHeight="false" outlineLevel="0" collapsed="false">
      <c r="A6" s="7" t="s">
        <v>386</v>
      </c>
      <c r="B6" s="7" t="s">
        <v>387</v>
      </c>
      <c r="C6" s="7" t="s">
        <v>310</v>
      </c>
      <c r="D6" s="7" t="s">
        <v>388</v>
      </c>
      <c r="E6" s="7" t="s">
        <v>389</v>
      </c>
      <c r="F6" s="8" t="n">
        <v>5</v>
      </c>
      <c r="G6" s="7" t="s">
        <v>390</v>
      </c>
    </row>
    <row r="7" customFormat="false" ht="22.35" hidden="false" customHeight="false" outlineLevel="0" collapsed="false">
      <c r="A7" s="7" t="s">
        <v>391</v>
      </c>
      <c r="B7" s="7" t="s">
        <v>392</v>
      </c>
      <c r="C7" s="7" t="s">
        <v>321</v>
      </c>
      <c r="D7" s="7" t="s">
        <v>393</v>
      </c>
      <c r="E7" s="7" t="s">
        <v>394</v>
      </c>
      <c r="F7" s="8" t="n">
        <v>4</v>
      </c>
      <c r="G7" s="7" t="s">
        <v>395</v>
      </c>
    </row>
    <row r="8" customFormat="false" ht="22.35" hidden="false" customHeight="false" outlineLevel="0" collapsed="false">
      <c r="A8" s="7" t="s">
        <v>396</v>
      </c>
      <c r="B8" s="7" t="s">
        <v>397</v>
      </c>
      <c r="C8" s="7" t="s">
        <v>313</v>
      </c>
      <c r="D8" s="7" t="s">
        <v>172</v>
      </c>
      <c r="E8" s="7" t="s">
        <v>398</v>
      </c>
      <c r="F8" s="8" t="n">
        <v>4</v>
      </c>
      <c r="G8" s="7" t="s">
        <v>399</v>
      </c>
    </row>
    <row r="9" customFormat="false" ht="15" hidden="false" customHeight="false" outlineLevel="0" collapsed="false">
      <c r="A9" s="7" t="s">
        <v>400</v>
      </c>
      <c r="B9" s="7" t="s">
        <v>401</v>
      </c>
      <c r="C9" s="7" t="s">
        <v>323</v>
      </c>
      <c r="D9" s="7" t="s">
        <v>168</v>
      </c>
      <c r="E9" s="7" t="s">
        <v>402</v>
      </c>
      <c r="F9" s="8" t="n">
        <v>5</v>
      </c>
      <c r="G9" s="7" t="s">
        <v>403</v>
      </c>
    </row>
    <row r="10" customFormat="false" ht="15" hidden="false" customHeight="false" outlineLevel="0" collapsed="false">
      <c r="A10" s="7" t="s">
        <v>404</v>
      </c>
      <c r="B10" s="7" t="s">
        <v>405</v>
      </c>
      <c r="C10" s="7" t="s">
        <v>406</v>
      </c>
      <c r="D10" s="7" t="s">
        <v>164</v>
      </c>
      <c r="E10" s="7" t="s">
        <v>407</v>
      </c>
      <c r="F10" s="8" t="n">
        <v>4</v>
      </c>
      <c r="G10" s="7" t="s">
        <v>408</v>
      </c>
    </row>
    <row r="11" customFormat="false" ht="15" hidden="false" customHeight="false" outlineLevel="0" collapsed="false">
      <c r="A11" s="7" t="s">
        <v>409</v>
      </c>
      <c r="B11" s="7" t="s">
        <v>410</v>
      </c>
      <c r="C11" s="7" t="s">
        <v>317</v>
      </c>
      <c r="D11" s="7" t="s">
        <v>305</v>
      </c>
      <c r="E11" s="7" t="s">
        <v>411</v>
      </c>
      <c r="F11" s="8" t="n">
        <v>4</v>
      </c>
      <c r="G11" s="7" t="s">
        <v>412</v>
      </c>
    </row>
    <row r="12" customFormat="false" ht="15" hidden="false" customHeight="false" outlineLevel="0" collapsed="false">
      <c r="A12" s="7" t="s">
        <v>413</v>
      </c>
      <c r="B12" s="7" t="s">
        <v>414</v>
      </c>
      <c r="C12" s="7" t="s">
        <v>315</v>
      </c>
      <c r="D12" s="7" t="s">
        <v>188</v>
      </c>
      <c r="E12" s="7" t="s">
        <v>415</v>
      </c>
      <c r="F12" s="8" t="n">
        <v>4</v>
      </c>
      <c r="G12" s="7" t="s">
        <v>416</v>
      </c>
    </row>
    <row r="13" customFormat="false" ht="22.35" hidden="false" customHeight="false" outlineLevel="0" collapsed="false">
      <c r="A13" s="7" t="s">
        <v>417</v>
      </c>
      <c r="B13" s="7" t="s">
        <v>418</v>
      </c>
      <c r="C13" s="7" t="s">
        <v>419</v>
      </c>
      <c r="D13" s="7" t="s">
        <v>176</v>
      </c>
      <c r="E13" s="7" t="s">
        <v>420</v>
      </c>
      <c r="F13" s="8" t="n">
        <v>3</v>
      </c>
      <c r="G13" s="7" t="s">
        <v>421</v>
      </c>
    </row>
    <row r="14" customFormat="false" ht="15" hidden="false" customHeight="false" outlineLevel="0" collapsed="false">
      <c r="A14" s="7" t="s">
        <v>422</v>
      </c>
      <c r="B14" s="7" t="s">
        <v>423</v>
      </c>
      <c r="C14" s="7" t="s">
        <v>325</v>
      </c>
      <c r="D14" s="7" t="s">
        <v>192</v>
      </c>
      <c r="E14" s="7" t="s">
        <v>424</v>
      </c>
      <c r="F14" s="8" t="n">
        <v>3</v>
      </c>
      <c r="G14" s="7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62"/>
    <col collapsed="false" customWidth="true" hidden="false" outlineLevel="0" max="8" min="8" style="0" width="40"/>
    <col collapsed="false" customWidth="true" hidden="false" outlineLevel="0" max="10" min="9" style="0" width="60"/>
  </cols>
  <sheetData>
    <row r="1" customFormat="false" ht="17.35" hidden="false" customHeight="false" outlineLevel="0" collapsed="false">
      <c r="A1" s="1" t="s">
        <v>426</v>
      </c>
    </row>
    <row r="2" customFormat="false" ht="15" hidden="false" customHeight="false" outlineLevel="0" collapsed="false">
      <c r="A2" s="2" t="s">
        <v>427</v>
      </c>
    </row>
    <row r="3" customFormat="false" ht="31.5" hidden="false" customHeight="true" outlineLevel="0" collapsed="false">
      <c r="A3" s="6" t="s">
        <v>428</v>
      </c>
      <c r="B3" s="6" t="s">
        <v>429</v>
      </c>
      <c r="C3" s="6" t="s">
        <v>430</v>
      </c>
      <c r="D3" s="6" t="s">
        <v>431</v>
      </c>
      <c r="E3" s="6" t="s">
        <v>432</v>
      </c>
      <c r="F3" s="6" t="s">
        <v>433</v>
      </c>
      <c r="G3" s="6" t="s">
        <v>434</v>
      </c>
      <c r="H3" s="6" t="s">
        <v>435</v>
      </c>
      <c r="I3" s="6" t="s">
        <v>436</v>
      </c>
      <c r="J3" s="6" t="s">
        <v>437</v>
      </c>
    </row>
    <row r="4" customFormat="false" ht="53.7" hidden="false" customHeight="false" outlineLevel="0" collapsed="false">
      <c r="A4" s="8" t="s">
        <v>438</v>
      </c>
      <c r="B4" s="8" t="s">
        <v>376</v>
      </c>
      <c r="C4" s="7" t="s">
        <v>439</v>
      </c>
      <c r="D4" s="8" t="s">
        <v>440</v>
      </c>
      <c r="E4" s="9" t="n">
        <v>4</v>
      </c>
      <c r="F4" s="8" t="s">
        <v>441</v>
      </c>
      <c r="G4" s="7" t="s">
        <v>442</v>
      </c>
      <c r="H4" s="7" t="s">
        <v>443</v>
      </c>
      <c r="I4" s="7" t="s">
        <v>444</v>
      </c>
      <c r="J4" s="7" t="s">
        <v>445</v>
      </c>
    </row>
    <row r="5" customFormat="false" ht="22.35" hidden="false" customHeight="false" outlineLevel="0" collapsed="false">
      <c r="A5" s="8" t="s">
        <v>438</v>
      </c>
      <c r="B5" s="8" t="s">
        <v>376</v>
      </c>
      <c r="C5" s="7" t="s">
        <v>439</v>
      </c>
      <c r="D5" s="8" t="s">
        <v>440</v>
      </c>
      <c r="E5" s="8"/>
      <c r="F5" s="8" t="s">
        <v>446</v>
      </c>
      <c r="G5" s="7" t="s">
        <v>447</v>
      </c>
      <c r="H5" s="7" t="s">
        <v>448</v>
      </c>
      <c r="I5" s="7"/>
      <c r="J5" s="7"/>
    </row>
    <row r="6" customFormat="false" ht="22.35" hidden="false" customHeight="false" outlineLevel="0" collapsed="false">
      <c r="A6" s="8" t="s">
        <v>438</v>
      </c>
      <c r="B6" s="8" t="s">
        <v>376</v>
      </c>
      <c r="C6" s="7" t="s">
        <v>439</v>
      </c>
      <c r="D6" s="8" t="s">
        <v>440</v>
      </c>
      <c r="E6" s="8"/>
      <c r="F6" s="8" t="s">
        <v>449</v>
      </c>
      <c r="G6" s="7" t="s">
        <v>450</v>
      </c>
      <c r="H6" s="7" t="s">
        <v>451</v>
      </c>
      <c r="I6" s="7"/>
      <c r="J6" s="7"/>
    </row>
    <row r="7" customFormat="false" ht="22.35" hidden="false" customHeight="false" outlineLevel="0" collapsed="false">
      <c r="A7" s="8" t="s">
        <v>438</v>
      </c>
      <c r="B7" s="8" t="s">
        <v>376</v>
      </c>
      <c r="C7" s="7" t="s">
        <v>439</v>
      </c>
      <c r="D7" s="8" t="s">
        <v>440</v>
      </c>
      <c r="E7" s="8"/>
      <c r="F7" s="8" t="s">
        <v>452</v>
      </c>
      <c r="G7" s="7" t="s">
        <v>453</v>
      </c>
      <c r="H7" s="7" t="s">
        <v>454</v>
      </c>
      <c r="I7" s="7"/>
      <c r="J7" s="7"/>
    </row>
    <row r="8" customFormat="false" ht="43.25" hidden="false" customHeight="false" outlineLevel="0" collapsed="false">
      <c r="A8" s="8" t="s">
        <v>455</v>
      </c>
      <c r="B8" s="8" t="s">
        <v>381</v>
      </c>
      <c r="C8" s="7" t="s">
        <v>456</v>
      </c>
      <c r="D8" s="8" t="s">
        <v>457</v>
      </c>
      <c r="E8" s="9" t="n">
        <v>3</v>
      </c>
      <c r="F8" s="8" t="s">
        <v>441</v>
      </c>
      <c r="G8" s="7" t="s">
        <v>458</v>
      </c>
      <c r="H8" s="7" t="s">
        <v>459</v>
      </c>
      <c r="I8" s="7" t="s">
        <v>460</v>
      </c>
      <c r="J8" s="7" t="s">
        <v>461</v>
      </c>
    </row>
    <row r="9" customFormat="false" ht="22.35" hidden="false" customHeight="false" outlineLevel="0" collapsed="false">
      <c r="A9" s="8" t="s">
        <v>455</v>
      </c>
      <c r="B9" s="8" t="s">
        <v>381</v>
      </c>
      <c r="C9" s="7" t="s">
        <v>456</v>
      </c>
      <c r="D9" s="8" t="s">
        <v>457</v>
      </c>
      <c r="E9" s="8"/>
      <c r="F9" s="8" t="s">
        <v>446</v>
      </c>
      <c r="G9" s="7" t="s">
        <v>462</v>
      </c>
      <c r="H9" s="7" t="s">
        <v>463</v>
      </c>
      <c r="I9" s="7"/>
      <c r="J9" s="7"/>
    </row>
    <row r="10" customFormat="false" ht="22.35" hidden="false" customHeight="false" outlineLevel="0" collapsed="false">
      <c r="A10" s="8" t="s">
        <v>455</v>
      </c>
      <c r="B10" s="8" t="s">
        <v>381</v>
      </c>
      <c r="C10" s="7" t="s">
        <v>456</v>
      </c>
      <c r="D10" s="8" t="s">
        <v>457</v>
      </c>
      <c r="E10" s="8"/>
      <c r="F10" s="8" t="s">
        <v>449</v>
      </c>
      <c r="G10" s="7" t="s">
        <v>464</v>
      </c>
      <c r="H10" s="7" t="s">
        <v>465</v>
      </c>
      <c r="I10" s="7"/>
      <c r="J10" s="7"/>
    </row>
    <row r="11" customFormat="false" ht="22.35" hidden="false" customHeight="false" outlineLevel="0" collapsed="false">
      <c r="A11" s="8" t="s">
        <v>455</v>
      </c>
      <c r="B11" s="8" t="s">
        <v>381</v>
      </c>
      <c r="C11" s="7" t="s">
        <v>456</v>
      </c>
      <c r="D11" s="8" t="s">
        <v>457</v>
      </c>
      <c r="E11" s="8"/>
      <c r="F11" s="8" t="s">
        <v>452</v>
      </c>
      <c r="G11" s="7" t="s">
        <v>466</v>
      </c>
      <c r="H11" s="7" t="s">
        <v>467</v>
      </c>
      <c r="I11" s="7"/>
      <c r="J11" s="7"/>
    </row>
    <row r="12" customFormat="false" ht="43.25" hidden="false" customHeight="false" outlineLevel="0" collapsed="false">
      <c r="A12" s="8" t="s">
        <v>468</v>
      </c>
      <c r="B12" s="8" t="s">
        <v>386</v>
      </c>
      <c r="C12" s="7" t="s">
        <v>469</v>
      </c>
      <c r="D12" s="8" t="s">
        <v>470</v>
      </c>
      <c r="E12" s="9" t="n">
        <v>4</v>
      </c>
      <c r="F12" s="8" t="s">
        <v>441</v>
      </c>
      <c r="G12" s="7" t="s">
        <v>471</v>
      </c>
      <c r="H12" s="7" t="s">
        <v>472</v>
      </c>
      <c r="I12" s="7" t="s">
        <v>473</v>
      </c>
      <c r="J12" s="7" t="s">
        <v>474</v>
      </c>
    </row>
    <row r="13" customFormat="false" ht="22.35" hidden="false" customHeight="false" outlineLevel="0" collapsed="false">
      <c r="A13" s="8" t="s">
        <v>468</v>
      </c>
      <c r="B13" s="8" t="s">
        <v>386</v>
      </c>
      <c r="C13" s="7" t="s">
        <v>469</v>
      </c>
      <c r="D13" s="8" t="s">
        <v>470</v>
      </c>
      <c r="E13" s="8"/>
      <c r="F13" s="8" t="s">
        <v>446</v>
      </c>
      <c r="G13" s="7" t="s">
        <v>475</v>
      </c>
      <c r="H13" s="7" t="s">
        <v>476</v>
      </c>
      <c r="I13" s="7"/>
      <c r="J13" s="7"/>
    </row>
    <row r="14" customFormat="false" ht="22.35" hidden="false" customHeight="false" outlineLevel="0" collapsed="false">
      <c r="A14" s="8" t="s">
        <v>468</v>
      </c>
      <c r="B14" s="8" t="s">
        <v>386</v>
      </c>
      <c r="C14" s="7" t="s">
        <v>469</v>
      </c>
      <c r="D14" s="8" t="s">
        <v>470</v>
      </c>
      <c r="E14" s="8"/>
      <c r="F14" s="8" t="s">
        <v>449</v>
      </c>
      <c r="G14" s="7" t="s">
        <v>477</v>
      </c>
      <c r="H14" s="7" t="s">
        <v>465</v>
      </c>
      <c r="I14" s="7"/>
      <c r="J14" s="7"/>
    </row>
    <row r="15" customFormat="false" ht="22.35" hidden="false" customHeight="false" outlineLevel="0" collapsed="false">
      <c r="A15" s="8" t="s">
        <v>468</v>
      </c>
      <c r="B15" s="8" t="s">
        <v>386</v>
      </c>
      <c r="C15" s="7" t="s">
        <v>469</v>
      </c>
      <c r="D15" s="8" t="s">
        <v>470</v>
      </c>
      <c r="E15" s="8"/>
      <c r="F15" s="8" t="s">
        <v>452</v>
      </c>
      <c r="G15" s="7" t="s">
        <v>478</v>
      </c>
      <c r="H15" s="7" t="s">
        <v>479</v>
      </c>
      <c r="I15" s="7"/>
      <c r="J15" s="7"/>
    </row>
    <row r="16" customFormat="false" ht="43.25" hidden="false" customHeight="false" outlineLevel="0" collapsed="false">
      <c r="A16" s="8" t="s">
        <v>480</v>
      </c>
      <c r="B16" s="8" t="s">
        <v>396</v>
      </c>
      <c r="C16" s="7" t="s">
        <v>481</v>
      </c>
      <c r="D16" s="8" t="s">
        <v>482</v>
      </c>
      <c r="E16" s="9" t="n">
        <v>4</v>
      </c>
      <c r="F16" s="8" t="s">
        <v>441</v>
      </c>
      <c r="G16" s="7" t="s">
        <v>483</v>
      </c>
      <c r="H16" s="7" t="s">
        <v>459</v>
      </c>
      <c r="I16" s="7" t="s">
        <v>484</v>
      </c>
      <c r="J16" s="7" t="s">
        <v>485</v>
      </c>
    </row>
    <row r="17" customFormat="false" ht="22.35" hidden="false" customHeight="false" outlineLevel="0" collapsed="false">
      <c r="A17" s="8" t="s">
        <v>480</v>
      </c>
      <c r="B17" s="8" t="s">
        <v>396</v>
      </c>
      <c r="C17" s="7" t="s">
        <v>481</v>
      </c>
      <c r="D17" s="8" t="s">
        <v>482</v>
      </c>
      <c r="E17" s="8"/>
      <c r="F17" s="8" t="s">
        <v>446</v>
      </c>
      <c r="G17" s="7" t="s">
        <v>486</v>
      </c>
      <c r="H17" s="7" t="s">
        <v>487</v>
      </c>
      <c r="I17" s="7"/>
      <c r="J17" s="7"/>
    </row>
    <row r="18" customFormat="false" ht="22.35" hidden="false" customHeight="false" outlineLevel="0" collapsed="false">
      <c r="A18" s="8" t="s">
        <v>480</v>
      </c>
      <c r="B18" s="8" t="s">
        <v>396</v>
      </c>
      <c r="C18" s="7" t="s">
        <v>481</v>
      </c>
      <c r="D18" s="8" t="s">
        <v>482</v>
      </c>
      <c r="E18" s="8"/>
      <c r="F18" s="8" t="s">
        <v>449</v>
      </c>
      <c r="G18" s="7" t="s">
        <v>488</v>
      </c>
      <c r="H18" s="7" t="s">
        <v>489</v>
      </c>
      <c r="I18" s="7"/>
      <c r="J18" s="7"/>
    </row>
    <row r="19" customFormat="false" ht="22.35" hidden="false" customHeight="false" outlineLevel="0" collapsed="false">
      <c r="A19" s="8" t="s">
        <v>480</v>
      </c>
      <c r="B19" s="8" t="s">
        <v>396</v>
      </c>
      <c r="C19" s="7" t="s">
        <v>481</v>
      </c>
      <c r="D19" s="8" t="s">
        <v>482</v>
      </c>
      <c r="E19" s="8"/>
      <c r="F19" s="8" t="s">
        <v>452</v>
      </c>
      <c r="G19" s="7" t="s">
        <v>490</v>
      </c>
      <c r="H19" s="7" t="s">
        <v>491</v>
      </c>
      <c r="I19" s="7"/>
      <c r="J19" s="7"/>
    </row>
    <row r="20" customFormat="false" ht="32.8" hidden="false" customHeight="false" outlineLevel="0" collapsed="false">
      <c r="A20" s="8" t="s">
        <v>492</v>
      </c>
      <c r="B20" s="8" t="s">
        <v>400</v>
      </c>
      <c r="C20" s="7" t="s">
        <v>493</v>
      </c>
      <c r="D20" s="8" t="s">
        <v>494</v>
      </c>
      <c r="E20" s="9" t="n">
        <v>2</v>
      </c>
      <c r="F20" s="8" t="s">
        <v>441</v>
      </c>
      <c r="G20" s="7" t="s">
        <v>495</v>
      </c>
      <c r="H20" s="7" t="s">
        <v>496</v>
      </c>
      <c r="I20" s="7" t="s">
        <v>497</v>
      </c>
      <c r="J20" s="7" t="s">
        <v>498</v>
      </c>
    </row>
    <row r="21" customFormat="false" ht="22.35" hidden="false" customHeight="false" outlineLevel="0" collapsed="false">
      <c r="A21" s="8" t="s">
        <v>492</v>
      </c>
      <c r="B21" s="8" t="s">
        <v>400</v>
      </c>
      <c r="C21" s="7" t="s">
        <v>493</v>
      </c>
      <c r="D21" s="8" t="s">
        <v>494</v>
      </c>
      <c r="E21" s="8"/>
      <c r="F21" s="8" t="s">
        <v>446</v>
      </c>
      <c r="G21" s="7" t="s">
        <v>499</v>
      </c>
      <c r="H21" s="7" t="s">
        <v>500</v>
      </c>
      <c r="I21" s="7"/>
      <c r="J21" s="7"/>
    </row>
    <row r="22" customFormat="false" ht="22.35" hidden="false" customHeight="false" outlineLevel="0" collapsed="false">
      <c r="A22" s="8" t="s">
        <v>492</v>
      </c>
      <c r="B22" s="8" t="s">
        <v>400</v>
      </c>
      <c r="C22" s="7" t="s">
        <v>493</v>
      </c>
      <c r="D22" s="8" t="s">
        <v>494</v>
      </c>
      <c r="E22" s="8"/>
      <c r="F22" s="8" t="s">
        <v>449</v>
      </c>
      <c r="G22" s="7" t="s">
        <v>501</v>
      </c>
      <c r="H22" s="7" t="s">
        <v>502</v>
      </c>
      <c r="I22" s="7"/>
      <c r="J22" s="7"/>
    </row>
    <row r="23" customFormat="false" ht="22.35" hidden="false" customHeight="false" outlineLevel="0" collapsed="false">
      <c r="A23" s="8" t="s">
        <v>492</v>
      </c>
      <c r="B23" s="8" t="s">
        <v>400</v>
      </c>
      <c r="C23" s="7" t="s">
        <v>493</v>
      </c>
      <c r="D23" s="8" t="s">
        <v>494</v>
      </c>
      <c r="E23" s="8"/>
      <c r="F23" s="8" t="s">
        <v>452</v>
      </c>
      <c r="G23" s="7" t="s">
        <v>503</v>
      </c>
      <c r="H23" s="7" t="s">
        <v>504</v>
      </c>
      <c r="I23" s="7"/>
      <c r="J23" s="7"/>
    </row>
    <row r="24" customFormat="false" ht="43.25" hidden="false" customHeight="false" outlineLevel="0" collapsed="false">
      <c r="A24" s="8" t="s">
        <v>505</v>
      </c>
      <c r="B24" s="8" t="s">
        <v>404</v>
      </c>
      <c r="C24" s="7" t="s">
        <v>506</v>
      </c>
      <c r="D24" s="8" t="s">
        <v>507</v>
      </c>
      <c r="E24" s="9" t="n">
        <v>3</v>
      </c>
      <c r="F24" s="8" t="s">
        <v>441</v>
      </c>
      <c r="G24" s="7" t="s">
        <v>508</v>
      </c>
      <c r="H24" s="7" t="s">
        <v>496</v>
      </c>
      <c r="I24" s="7" t="s">
        <v>509</v>
      </c>
      <c r="J24" s="7" t="s">
        <v>510</v>
      </c>
    </row>
    <row r="25" customFormat="false" ht="22.35" hidden="false" customHeight="false" outlineLevel="0" collapsed="false">
      <c r="A25" s="8" t="s">
        <v>505</v>
      </c>
      <c r="B25" s="8" t="s">
        <v>404</v>
      </c>
      <c r="C25" s="7" t="s">
        <v>506</v>
      </c>
      <c r="D25" s="8" t="s">
        <v>507</v>
      </c>
      <c r="E25" s="8"/>
      <c r="F25" s="8" t="s">
        <v>446</v>
      </c>
      <c r="G25" s="7" t="s">
        <v>511</v>
      </c>
      <c r="H25" s="7" t="s">
        <v>512</v>
      </c>
      <c r="I25" s="7"/>
      <c r="J25" s="7"/>
    </row>
    <row r="26" customFormat="false" ht="22.35" hidden="false" customHeight="false" outlineLevel="0" collapsed="false">
      <c r="A26" s="8" t="s">
        <v>505</v>
      </c>
      <c r="B26" s="8" t="s">
        <v>404</v>
      </c>
      <c r="C26" s="7" t="s">
        <v>506</v>
      </c>
      <c r="D26" s="8" t="s">
        <v>507</v>
      </c>
      <c r="E26" s="8"/>
      <c r="F26" s="8" t="s">
        <v>449</v>
      </c>
      <c r="G26" s="7" t="s">
        <v>513</v>
      </c>
      <c r="H26" s="7" t="s">
        <v>514</v>
      </c>
      <c r="I26" s="7"/>
      <c r="J26" s="7"/>
    </row>
    <row r="27" customFormat="false" ht="22.35" hidden="false" customHeight="false" outlineLevel="0" collapsed="false">
      <c r="A27" s="8" t="s">
        <v>505</v>
      </c>
      <c r="B27" s="8" t="s">
        <v>404</v>
      </c>
      <c r="C27" s="7" t="s">
        <v>506</v>
      </c>
      <c r="D27" s="8" t="s">
        <v>507</v>
      </c>
      <c r="E27" s="8"/>
      <c r="F27" s="8" t="s">
        <v>452</v>
      </c>
      <c r="G27" s="7" t="s">
        <v>515</v>
      </c>
      <c r="H27" s="7" t="s">
        <v>516</v>
      </c>
      <c r="I27" s="7"/>
      <c r="J27" s="7"/>
    </row>
    <row r="28" customFormat="false" ht="22.35" hidden="false" customHeight="false" outlineLevel="0" collapsed="false">
      <c r="A28" s="8" t="s">
        <v>517</v>
      </c>
      <c r="B28" s="8" t="s">
        <v>413</v>
      </c>
      <c r="C28" s="7" t="s">
        <v>518</v>
      </c>
      <c r="D28" s="8" t="s">
        <v>519</v>
      </c>
      <c r="E28" s="9" t="n">
        <v>3</v>
      </c>
      <c r="F28" s="8" t="s">
        <v>441</v>
      </c>
      <c r="G28" s="7" t="s">
        <v>520</v>
      </c>
      <c r="H28" s="7" t="s">
        <v>459</v>
      </c>
      <c r="I28" s="7" t="s">
        <v>521</v>
      </c>
      <c r="J28" s="7" t="s">
        <v>522</v>
      </c>
    </row>
    <row r="29" customFormat="false" ht="22.35" hidden="false" customHeight="false" outlineLevel="0" collapsed="false">
      <c r="A29" s="8" t="s">
        <v>517</v>
      </c>
      <c r="B29" s="8" t="s">
        <v>413</v>
      </c>
      <c r="C29" s="7" t="s">
        <v>518</v>
      </c>
      <c r="D29" s="8" t="s">
        <v>519</v>
      </c>
      <c r="E29" s="8"/>
      <c r="F29" s="8" t="s">
        <v>446</v>
      </c>
      <c r="G29" s="7" t="s">
        <v>523</v>
      </c>
      <c r="H29" s="7" t="s">
        <v>524</v>
      </c>
      <c r="I29" s="7"/>
      <c r="J29" s="7"/>
    </row>
    <row r="30" customFormat="false" ht="22.35" hidden="false" customHeight="false" outlineLevel="0" collapsed="false">
      <c r="A30" s="8" t="s">
        <v>517</v>
      </c>
      <c r="B30" s="8" t="s">
        <v>413</v>
      </c>
      <c r="C30" s="7" t="s">
        <v>518</v>
      </c>
      <c r="D30" s="8" t="s">
        <v>519</v>
      </c>
      <c r="E30" s="8"/>
      <c r="F30" s="8" t="s">
        <v>449</v>
      </c>
      <c r="G30" s="7" t="s">
        <v>525</v>
      </c>
      <c r="H30" s="7" t="s">
        <v>526</v>
      </c>
      <c r="I30" s="7"/>
      <c r="J30" s="7"/>
    </row>
    <row r="31" customFormat="false" ht="22.35" hidden="false" customHeight="false" outlineLevel="0" collapsed="false">
      <c r="A31" s="8" t="s">
        <v>517</v>
      </c>
      <c r="B31" s="8" t="s">
        <v>413</v>
      </c>
      <c r="C31" s="7" t="s">
        <v>518</v>
      </c>
      <c r="D31" s="8" t="s">
        <v>519</v>
      </c>
      <c r="E31" s="8"/>
      <c r="F31" s="8" t="s">
        <v>452</v>
      </c>
      <c r="G31" s="7" t="s">
        <v>527</v>
      </c>
      <c r="H31" s="7" t="s">
        <v>528</v>
      </c>
      <c r="I31" s="7"/>
      <c r="J31" s="7"/>
    </row>
    <row r="32" customFormat="false" ht="32.8" hidden="false" customHeight="false" outlineLevel="0" collapsed="false">
      <c r="A32" s="8" t="s">
        <v>529</v>
      </c>
      <c r="B32" s="8" t="s">
        <v>391</v>
      </c>
      <c r="C32" s="7" t="s">
        <v>530</v>
      </c>
      <c r="D32" s="8" t="s">
        <v>531</v>
      </c>
      <c r="E32" s="9" t="n">
        <v>3</v>
      </c>
      <c r="F32" s="8" t="s">
        <v>441</v>
      </c>
      <c r="G32" s="7" t="s">
        <v>532</v>
      </c>
      <c r="H32" s="7" t="s">
        <v>443</v>
      </c>
      <c r="I32" s="7" t="s">
        <v>533</v>
      </c>
      <c r="J32" s="7" t="s">
        <v>534</v>
      </c>
    </row>
    <row r="33" customFormat="false" ht="22.35" hidden="false" customHeight="false" outlineLevel="0" collapsed="false">
      <c r="A33" s="8" t="s">
        <v>529</v>
      </c>
      <c r="B33" s="8" t="s">
        <v>391</v>
      </c>
      <c r="C33" s="7" t="s">
        <v>530</v>
      </c>
      <c r="D33" s="8" t="s">
        <v>531</v>
      </c>
      <c r="E33" s="8"/>
      <c r="F33" s="8" t="s">
        <v>446</v>
      </c>
      <c r="G33" s="7" t="s">
        <v>535</v>
      </c>
      <c r="H33" s="7" t="s">
        <v>502</v>
      </c>
      <c r="I33" s="7"/>
      <c r="J33" s="7"/>
    </row>
    <row r="34" customFormat="false" ht="22.35" hidden="false" customHeight="false" outlineLevel="0" collapsed="false">
      <c r="A34" s="8" t="s">
        <v>529</v>
      </c>
      <c r="B34" s="8" t="s">
        <v>391</v>
      </c>
      <c r="C34" s="7" t="s">
        <v>530</v>
      </c>
      <c r="D34" s="8" t="s">
        <v>531</v>
      </c>
      <c r="E34" s="8"/>
      <c r="F34" s="8" t="s">
        <v>449</v>
      </c>
      <c r="G34" s="7" t="s">
        <v>536</v>
      </c>
      <c r="H34" s="7" t="s">
        <v>465</v>
      </c>
      <c r="I34" s="7"/>
      <c r="J34" s="7"/>
    </row>
    <row r="35" customFormat="false" ht="22.35" hidden="false" customHeight="false" outlineLevel="0" collapsed="false">
      <c r="A35" s="8" t="s">
        <v>529</v>
      </c>
      <c r="B35" s="8" t="s">
        <v>391</v>
      </c>
      <c r="C35" s="7" t="s">
        <v>530</v>
      </c>
      <c r="D35" s="8" t="s">
        <v>531</v>
      </c>
      <c r="E35" s="8"/>
      <c r="F35" s="8" t="s">
        <v>452</v>
      </c>
      <c r="G35" s="7" t="s">
        <v>537</v>
      </c>
      <c r="H35" s="7" t="s">
        <v>538</v>
      </c>
      <c r="I35" s="7"/>
      <c r="J35" s="7"/>
    </row>
    <row r="36" customFormat="false" ht="22.35" hidden="false" customHeight="false" outlineLevel="0" collapsed="false">
      <c r="A36" s="8" t="s">
        <v>539</v>
      </c>
      <c r="B36" s="8" t="s">
        <v>409</v>
      </c>
      <c r="C36" s="7" t="s">
        <v>540</v>
      </c>
      <c r="D36" s="8" t="s">
        <v>541</v>
      </c>
      <c r="E36" s="9" t="n">
        <v>2</v>
      </c>
      <c r="F36" s="8" t="s">
        <v>441</v>
      </c>
      <c r="G36" s="7" t="s">
        <v>542</v>
      </c>
      <c r="H36" s="7" t="s">
        <v>419</v>
      </c>
      <c r="I36" s="7" t="s">
        <v>543</v>
      </c>
      <c r="J36" s="7" t="s">
        <v>544</v>
      </c>
    </row>
    <row r="37" customFormat="false" ht="22.35" hidden="false" customHeight="false" outlineLevel="0" collapsed="false">
      <c r="A37" s="8" t="s">
        <v>539</v>
      </c>
      <c r="B37" s="8" t="s">
        <v>409</v>
      </c>
      <c r="C37" s="7" t="s">
        <v>540</v>
      </c>
      <c r="D37" s="8" t="s">
        <v>541</v>
      </c>
      <c r="E37" s="8"/>
      <c r="F37" s="8" t="s">
        <v>446</v>
      </c>
      <c r="G37" s="7" t="s">
        <v>545</v>
      </c>
      <c r="H37" s="7" t="s">
        <v>546</v>
      </c>
      <c r="I37" s="7"/>
      <c r="J37" s="7"/>
    </row>
    <row r="38" customFormat="false" ht="22.35" hidden="false" customHeight="false" outlineLevel="0" collapsed="false">
      <c r="A38" s="8" t="s">
        <v>539</v>
      </c>
      <c r="B38" s="8" t="s">
        <v>409</v>
      </c>
      <c r="C38" s="7" t="s">
        <v>540</v>
      </c>
      <c r="D38" s="8" t="s">
        <v>541</v>
      </c>
      <c r="E38" s="8"/>
      <c r="F38" s="8" t="s">
        <v>449</v>
      </c>
      <c r="G38" s="7" t="s">
        <v>547</v>
      </c>
      <c r="H38" s="7" t="s">
        <v>489</v>
      </c>
      <c r="I38" s="7"/>
      <c r="J38" s="7"/>
    </row>
    <row r="39" customFormat="false" ht="22.35" hidden="false" customHeight="false" outlineLevel="0" collapsed="false">
      <c r="A39" s="8" t="s">
        <v>539</v>
      </c>
      <c r="B39" s="8" t="s">
        <v>409</v>
      </c>
      <c r="C39" s="7" t="s">
        <v>540</v>
      </c>
      <c r="D39" s="8" t="s">
        <v>541</v>
      </c>
      <c r="E39" s="8"/>
      <c r="F39" s="8" t="s">
        <v>452</v>
      </c>
      <c r="G39" s="7" t="s">
        <v>548</v>
      </c>
      <c r="H39" s="7" t="s">
        <v>549</v>
      </c>
      <c r="I39" s="7"/>
      <c r="J39" s="7"/>
    </row>
    <row r="40" customFormat="false" ht="22.35" hidden="false" customHeight="false" outlineLevel="0" collapsed="false">
      <c r="A40" s="8" t="s">
        <v>550</v>
      </c>
      <c r="B40" s="8" t="s">
        <v>422</v>
      </c>
      <c r="C40" s="7" t="s">
        <v>551</v>
      </c>
      <c r="D40" s="8" t="s">
        <v>552</v>
      </c>
      <c r="E40" s="9" t="n">
        <v>3</v>
      </c>
      <c r="F40" s="8" t="s">
        <v>441</v>
      </c>
      <c r="G40" s="7" t="s">
        <v>553</v>
      </c>
      <c r="H40" s="7" t="s">
        <v>554</v>
      </c>
      <c r="I40" s="7" t="s">
        <v>555</v>
      </c>
      <c r="J40" s="7" t="s">
        <v>556</v>
      </c>
    </row>
    <row r="41" customFormat="false" ht="22.35" hidden="false" customHeight="false" outlineLevel="0" collapsed="false">
      <c r="A41" s="8" t="s">
        <v>550</v>
      </c>
      <c r="B41" s="8" t="s">
        <v>422</v>
      </c>
      <c r="C41" s="7" t="s">
        <v>551</v>
      </c>
      <c r="D41" s="8" t="s">
        <v>552</v>
      </c>
      <c r="E41" s="8"/>
      <c r="F41" s="8" t="s">
        <v>446</v>
      </c>
      <c r="G41" s="7" t="s">
        <v>557</v>
      </c>
      <c r="H41" s="7" t="s">
        <v>558</v>
      </c>
      <c r="I41" s="7"/>
      <c r="J41" s="7"/>
    </row>
    <row r="42" customFormat="false" ht="22.35" hidden="false" customHeight="false" outlineLevel="0" collapsed="false">
      <c r="A42" s="8" t="s">
        <v>550</v>
      </c>
      <c r="B42" s="8" t="s">
        <v>422</v>
      </c>
      <c r="C42" s="7" t="s">
        <v>551</v>
      </c>
      <c r="D42" s="8" t="s">
        <v>552</v>
      </c>
      <c r="E42" s="8"/>
      <c r="F42" s="8" t="s">
        <v>449</v>
      </c>
      <c r="G42" s="7" t="s">
        <v>559</v>
      </c>
      <c r="H42" s="7" t="s">
        <v>560</v>
      </c>
      <c r="I42" s="7"/>
      <c r="J42" s="7"/>
    </row>
    <row r="43" customFormat="false" ht="22.35" hidden="false" customHeight="false" outlineLevel="0" collapsed="false">
      <c r="A43" s="8" t="s">
        <v>550</v>
      </c>
      <c r="B43" s="8" t="s">
        <v>422</v>
      </c>
      <c r="C43" s="7" t="s">
        <v>551</v>
      </c>
      <c r="D43" s="8" t="s">
        <v>552</v>
      </c>
      <c r="E43" s="8"/>
      <c r="F43" s="8" t="s">
        <v>452</v>
      </c>
      <c r="G43" s="7" t="s">
        <v>561</v>
      </c>
      <c r="H43" s="7" t="s">
        <v>562</v>
      </c>
      <c r="I43" s="7"/>
      <c r="J4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5" min="4" style="0" width="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70"/>
    <col collapsed="false" customWidth="true" hidden="false" outlineLevel="0" max="13" min="13" style="0" width="24"/>
    <col collapsed="false" customWidth="true" hidden="false" outlineLevel="0" max="14" min="14" style="0" width="28"/>
  </cols>
  <sheetData>
    <row r="1" customFormat="false" ht="17.35" hidden="false" customHeight="false" outlineLevel="0" collapsed="false">
      <c r="A1" s="1" t="s">
        <v>563</v>
      </c>
    </row>
    <row r="2" customFormat="false" ht="15" hidden="false" customHeight="false" outlineLevel="0" collapsed="false">
      <c r="A2" s="2" t="s">
        <v>564</v>
      </c>
    </row>
    <row r="4" customFormat="false" ht="31.5" hidden="false" customHeight="true" outlineLevel="0" collapsed="false">
      <c r="A4" s="6" t="s">
        <v>33</v>
      </c>
      <c r="B4" s="6" t="s">
        <v>431</v>
      </c>
      <c r="C4" s="6" t="s">
        <v>35</v>
      </c>
      <c r="D4" s="6" t="s">
        <v>429</v>
      </c>
      <c r="E4" s="6" t="s">
        <v>428</v>
      </c>
      <c r="F4" s="6" t="s">
        <v>372</v>
      </c>
      <c r="G4" s="6" t="s">
        <v>151</v>
      </c>
      <c r="H4" s="6" t="s">
        <v>565</v>
      </c>
      <c r="I4" s="6" t="s">
        <v>432</v>
      </c>
      <c r="J4" s="6" t="s">
        <v>566</v>
      </c>
      <c r="K4" s="6" t="s">
        <v>567</v>
      </c>
      <c r="L4" s="6" t="s">
        <v>568</v>
      </c>
      <c r="M4" s="6" t="s">
        <v>76</v>
      </c>
      <c r="N4" s="6" t="s">
        <v>569</v>
      </c>
    </row>
    <row r="5" customFormat="false" ht="32.8" hidden="false" customHeight="false" outlineLevel="0" collapsed="false">
      <c r="A5" s="8" t="s">
        <v>440</v>
      </c>
      <c r="B5" s="7" t="s">
        <v>570</v>
      </c>
      <c r="C5" s="7" t="s">
        <v>571</v>
      </c>
      <c r="D5" s="8" t="s">
        <v>376</v>
      </c>
      <c r="E5" s="8" t="s">
        <v>438</v>
      </c>
      <c r="F5" s="7" t="s">
        <v>305</v>
      </c>
      <c r="G5" s="7" t="s">
        <v>572</v>
      </c>
      <c r="H5" s="9" t="n">
        <v>5</v>
      </c>
      <c r="I5" s="9" t="n">
        <v>4</v>
      </c>
      <c r="J5" s="10" t="n">
        <f aca="false">H5*I5</f>
        <v>20</v>
      </c>
      <c r="K5" s="11" t="str">
        <f aca="false">IF(J5&gt;=20,"Critique",IF(J5&gt;=15,"Élevé",IF(J5&gt;=8,"Moyen","Faible")))</f>
        <v>Critique</v>
      </c>
      <c r="L5" s="7" t="s">
        <v>573</v>
      </c>
      <c r="M5" s="7" t="s">
        <v>574</v>
      </c>
      <c r="N5" s="7" t="s">
        <v>575</v>
      </c>
    </row>
    <row r="6" customFormat="false" ht="22.35" hidden="false" customHeight="false" outlineLevel="0" collapsed="false">
      <c r="A6" s="8" t="s">
        <v>470</v>
      </c>
      <c r="B6" s="7" t="s">
        <v>576</v>
      </c>
      <c r="C6" s="7" t="s">
        <v>577</v>
      </c>
      <c r="D6" s="8" t="s">
        <v>386</v>
      </c>
      <c r="E6" s="8" t="s">
        <v>468</v>
      </c>
      <c r="F6" s="7" t="s">
        <v>388</v>
      </c>
      <c r="G6" s="7" t="s">
        <v>578</v>
      </c>
      <c r="H6" s="9" t="n">
        <v>5</v>
      </c>
      <c r="I6" s="9" t="n">
        <v>4</v>
      </c>
      <c r="J6" s="10" t="n">
        <f aca="false">H6*I6</f>
        <v>20</v>
      </c>
      <c r="K6" s="11" t="str">
        <f aca="false">IF(J6&gt;=20,"Critique",IF(J6&gt;=15,"Élevé",IF(J6&gt;=8,"Moyen","Faible")))</f>
        <v>Critique</v>
      </c>
      <c r="L6" s="7" t="s">
        <v>579</v>
      </c>
      <c r="M6" s="7" t="s">
        <v>580</v>
      </c>
      <c r="N6" s="7" t="s">
        <v>581</v>
      </c>
    </row>
    <row r="7" customFormat="false" ht="32.8" hidden="false" customHeight="false" outlineLevel="0" collapsed="false">
      <c r="A7" s="8" t="s">
        <v>457</v>
      </c>
      <c r="B7" s="7" t="s">
        <v>382</v>
      </c>
      <c r="C7" s="7" t="s">
        <v>582</v>
      </c>
      <c r="D7" s="8" t="s">
        <v>381</v>
      </c>
      <c r="E7" s="8" t="s">
        <v>455</v>
      </c>
      <c r="F7" s="7" t="s">
        <v>160</v>
      </c>
      <c r="G7" s="7" t="s">
        <v>583</v>
      </c>
      <c r="H7" s="9" t="n">
        <v>5</v>
      </c>
      <c r="I7" s="9" t="n">
        <v>3</v>
      </c>
      <c r="J7" s="10" t="n">
        <f aca="false">H7*I7</f>
        <v>15</v>
      </c>
      <c r="K7" s="11" t="str">
        <f aca="false">IF(J7&gt;=20,"Critique",IF(J7&gt;=15,"Élevé",IF(J7&gt;=8,"Moyen","Faible")))</f>
        <v>Élevé</v>
      </c>
      <c r="L7" s="7" t="s">
        <v>584</v>
      </c>
      <c r="M7" s="7" t="s">
        <v>114</v>
      </c>
      <c r="N7" s="7" t="s">
        <v>585</v>
      </c>
    </row>
    <row r="8" customFormat="false" ht="22.35" hidden="false" customHeight="false" outlineLevel="0" collapsed="false">
      <c r="A8" s="8" t="s">
        <v>531</v>
      </c>
      <c r="B8" s="7" t="s">
        <v>586</v>
      </c>
      <c r="C8" s="7" t="s">
        <v>587</v>
      </c>
      <c r="D8" s="8" t="s">
        <v>391</v>
      </c>
      <c r="E8" s="8" t="s">
        <v>529</v>
      </c>
      <c r="F8" s="7" t="s">
        <v>393</v>
      </c>
      <c r="G8" s="7" t="s">
        <v>588</v>
      </c>
      <c r="H8" s="9" t="n">
        <v>4</v>
      </c>
      <c r="I8" s="9" t="n">
        <v>3</v>
      </c>
      <c r="J8" s="10" t="n">
        <f aca="false">H8*I8</f>
        <v>12</v>
      </c>
      <c r="K8" s="11" t="str">
        <f aca="false">IF(J8&gt;=20,"Critique",IF(J8&gt;=15,"Élevé",IF(J8&gt;=8,"Moyen","Faible")))</f>
        <v>Moyen</v>
      </c>
      <c r="L8" s="7" t="s">
        <v>589</v>
      </c>
      <c r="M8" s="7" t="s">
        <v>590</v>
      </c>
      <c r="N8" s="7" t="s">
        <v>591</v>
      </c>
    </row>
    <row r="9" customFormat="false" ht="32.8" hidden="false" customHeight="false" outlineLevel="0" collapsed="false">
      <c r="A9" s="8" t="s">
        <v>507</v>
      </c>
      <c r="B9" s="7" t="s">
        <v>592</v>
      </c>
      <c r="C9" s="7" t="s">
        <v>593</v>
      </c>
      <c r="D9" s="8" t="s">
        <v>404</v>
      </c>
      <c r="E9" s="8" t="s">
        <v>505</v>
      </c>
      <c r="F9" s="7" t="s">
        <v>164</v>
      </c>
      <c r="G9" s="7" t="s">
        <v>38</v>
      </c>
      <c r="H9" s="9" t="n">
        <v>5</v>
      </c>
      <c r="I9" s="9" t="n">
        <v>3</v>
      </c>
      <c r="J9" s="10" t="n">
        <f aca="false">H9*I9</f>
        <v>15</v>
      </c>
      <c r="K9" s="11" t="str">
        <f aca="false">IF(J9&gt;=20,"Critique",IF(J9&gt;=15,"Élevé",IF(J9&gt;=8,"Moyen","Faible")))</f>
        <v>Élevé</v>
      </c>
      <c r="L9" s="7" t="s">
        <v>594</v>
      </c>
      <c r="M9" s="7" t="s">
        <v>595</v>
      </c>
      <c r="N9" s="7" t="s">
        <v>596</v>
      </c>
    </row>
    <row r="10" customFormat="false" ht="32.8" hidden="false" customHeight="false" outlineLevel="0" collapsed="false">
      <c r="A10" s="8" t="s">
        <v>482</v>
      </c>
      <c r="B10" s="7" t="s">
        <v>597</v>
      </c>
      <c r="C10" s="7" t="s">
        <v>598</v>
      </c>
      <c r="D10" s="8" t="s">
        <v>396</v>
      </c>
      <c r="E10" s="8" t="s">
        <v>480</v>
      </c>
      <c r="F10" s="7" t="s">
        <v>172</v>
      </c>
      <c r="G10" s="7" t="s">
        <v>174</v>
      </c>
      <c r="H10" s="9" t="n">
        <v>4</v>
      </c>
      <c r="I10" s="9" t="n">
        <v>4</v>
      </c>
      <c r="J10" s="10" t="n">
        <f aca="false">H10*I10</f>
        <v>16</v>
      </c>
      <c r="K10" s="11" t="str">
        <f aca="false">IF(J10&gt;=20,"Critique",IF(J10&gt;=15,"Élevé",IF(J10&gt;=8,"Moyen","Faible")))</f>
        <v>Élevé</v>
      </c>
      <c r="L10" s="7" t="s">
        <v>599</v>
      </c>
      <c r="M10" s="7" t="s">
        <v>600</v>
      </c>
      <c r="N10" s="7" t="s">
        <v>601</v>
      </c>
    </row>
    <row r="11" customFormat="false" ht="22.35" hidden="false" customHeight="false" outlineLevel="0" collapsed="false">
      <c r="A11" s="8" t="s">
        <v>494</v>
      </c>
      <c r="B11" s="7" t="s">
        <v>169</v>
      </c>
      <c r="C11" s="7" t="s">
        <v>602</v>
      </c>
      <c r="D11" s="8" t="s">
        <v>400</v>
      </c>
      <c r="E11" s="8" t="s">
        <v>492</v>
      </c>
      <c r="F11" s="7" t="s">
        <v>168</v>
      </c>
      <c r="G11" s="7" t="s">
        <v>43</v>
      </c>
      <c r="H11" s="9" t="n">
        <v>5</v>
      </c>
      <c r="I11" s="9" t="n">
        <v>2</v>
      </c>
      <c r="J11" s="10" t="n">
        <f aca="false">H11*I11</f>
        <v>10</v>
      </c>
      <c r="K11" s="11" t="str">
        <f aca="false">IF(J11&gt;=20,"Critique",IF(J11&gt;=15,"Élevé",IF(J11&gt;=8,"Moyen","Faible")))</f>
        <v>Moyen</v>
      </c>
      <c r="L11" s="7" t="s">
        <v>603</v>
      </c>
      <c r="M11" s="7" t="s">
        <v>604</v>
      </c>
      <c r="N11" s="7" t="s">
        <v>605</v>
      </c>
    </row>
    <row r="12" customFormat="false" ht="22.35" hidden="false" customHeight="false" outlineLevel="0" collapsed="false">
      <c r="A12" s="8" t="s">
        <v>541</v>
      </c>
      <c r="B12" s="7" t="s">
        <v>606</v>
      </c>
      <c r="C12" s="7" t="s">
        <v>607</v>
      </c>
      <c r="D12" s="8" t="s">
        <v>409</v>
      </c>
      <c r="E12" s="8" t="s">
        <v>539</v>
      </c>
      <c r="F12" s="7" t="s">
        <v>305</v>
      </c>
      <c r="G12" s="7" t="s">
        <v>138</v>
      </c>
      <c r="H12" s="9" t="n">
        <v>4</v>
      </c>
      <c r="I12" s="9" t="n">
        <v>2</v>
      </c>
      <c r="J12" s="10" t="n">
        <f aca="false">H12*I12</f>
        <v>8</v>
      </c>
      <c r="K12" s="11" t="str">
        <f aca="false">IF(J12&gt;=20,"Critique",IF(J12&gt;=15,"Élevé",IF(J12&gt;=8,"Moyen","Faible")))</f>
        <v>Moyen</v>
      </c>
      <c r="L12" s="7" t="s">
        <v>608</v>
      </c>
      <c r="M12" s="7" t="s">
        <v>609</v>
      </c>
      <c r="N12" s="7" t="s">
        <v>610</v>
      </c>
    </row>
    <row r="13" customFormat="false" ht="22.35" hidden="false" customHeight="false" outlineLevel="0" collapsed="false">
      <c r="A13" s="8" t="s">
        <v>519</v>
      </c>
      <c r="B13" s="7" t="s">
        <v>611</v>
      </c>
      <c r="C13" s="7" t="s">
        <v>612</v>
      </c>
      <c r="D13" s="8" t="s">
        <v>413</v>
      </c>
      <c r="E13" s="8" t="s">
        <v>517</v>
      </c>
      <c r="F13" s="7" t="s">
        <v>188</v>
      </c>
      <c r="G13" s="7" t="s">
        <v>80</v>
      </c>
      <c r="H13" s="9" t="n">
        <v>4</v>
      </c>
      <c r="I13" s="9" t="n">
        <v>3</v>
      </c>
      <c r="J13" s="10" t="n">
        <f aca="false">H13*I13</f>
        <v>12</v>
      </c>
      <c r="K13" s="11" t="str">
        <f aca="false">IF(J13&gt;=20,"Critique",IF(J13&gt;=15,"Élevé",IF(J13&gt;=8,"Moyen","Faible")))</f>
        <v>Moyen</v>
      </c>
      <c r="L13" s="7" t="s">
        <v>613</v>
      </c>
      <c r="M13" s="7" t="s">
        <v>614</v>
      </c>
      <c r="N13" s="7" t="s">
        <v>615</v>
      </c>
    </row>
    <row r="14" customFormat="false" ht="32.8" hidden="false" customHeight="false" outlineLevel="0" collapsed="false">
      <c r="A14" s="8" t="s">
        <v>616</v>
      </c>
      <c r="B14" s="7" t="s">
        <v>617</v>
      </c>
      <c r="C14" s="7" t="s">
        <v>618</v>
      </c>
      <c r="D14" s="8" t="s">
        <v>386</v>
      </c>
      <c r="E14" s="8" t="s">
        <v>468</v>
      </c>
      <c r="F14" s="7" t="s">
        <v>180</v>
      </c>
      <c r="G14" s="7" t="s">
        <v>182</v>
      </c>
      <c r="H14" s="9" t="n">
        <v>4</v>
      </c>
      <c r="I14" s="9" t="n">
        <v>4</v>
      </c>
      <c r="J14" s="10" t="n">
        <f aca="false">H14*I14</f>
        <v>16</v>
      </c>
      <c r="K14" s="11" t="str">
        <f aca="false">IF(J14&gt;=20,"Critique",IF(J14&gt;=15,"Élevé",IF(J14&gt;=8,"Moyen","Faible")))</f>
        <v>Élevé</v>
      </c>
      <c r="L14" s="7" t="s">
        <v>619</v>
      </c>
      <c r="M14" s="7" t="s">
        <v>620</v>
      </c>
      <c r="N14" s="7" t="s">
        <v>621</v>
      </c>
    </row>
    <row r="15" customFormat="false" ht="22.35" hidden="false" customHeight="false" outlineLevel="0" collapsed="false">
      <c r="A15" s="8" t="s">
        <v>622</v>
      </c>
      <c r="B15" s="7" t="s">
        <v>623</v>
      </c>
      <c r="C15" s="7" t="s">
        <v>624</v>
      </c>
      <c r="D15" s="8" t="s">
        <v>417</v>
      </c>
      <c r="E15" s="8" t="s">
        <v>419</v>
      </c>
      <c r="F15" s="7" t="s">
        <v>176</v>
      </c>
      <c r="G15" s="7" t="s">
        <v>625</v>
      </c>
      <c r="H15" s="9" t="n">
        <v>3</v>
      </c>
      <c r="I15" s="9" t="n">
        <v>3</v>
      </c>
      <c r="J15" s="10" t="n">
        <f aca="false">H15*I15</f>
        <v>9</v>
      </c>
      <c r="K15" s="11" t="str">
        <f aca="false">IF(J15&gt;=20,"Critique",IF(J15&gt;=15,"Élevé",IF(J15&gt;=8,"Moyen","Faible")))</f>
        <v>Moyen</v>
      </c>
      <c r="L15" s="7" t="s">
        <v>626</v>
      </c>
      <c r="M15" s="7" t="s">
        <v>627</v>
      </c>
      <c r="N15" s="7" t="s">
        <v>628</v>
      </c>
    </row>
    <row r="16" customFormat="false" ht="22.35" hidden="false" customHeight="false" outlineLevel="0" collapsed="false">
      <c r="A16" s="8" t="s">
        <v>629</v>
      </c>
      <c r="B16" s="7" t="s">
        <v>630</v>
      </c>
      <c r="C16" s="7" t="s">
        <v>631</v>
      </c>
      <c r="D16" s="8" t="s">
        <v>417</v>
      </c>
      <c r="E16" s="8" t="s">
        <v>419</v>
      </c>
      <c r="F16" s="7" t="s">
        <v>176</v>
      </c>
      <c r="G16" s="7" t="s">
        <v>63</v>
      </c>
      <c r="H16" s="9" t="n">
        <v>3</v>
      </c>
      <c r="I16" s="9" t="n">
        <v>2</v>
      </c>
      <c r="J16" s="10" t="n">
        <f aca="false">H16*I16</f>
        <v>6</v>
      </c>
      <c r="K16" s="11" t="str">
        <f aca="false">IF(J16&gt;=20,"Critique",IF(J16&gt;=15,"Élevé",IF(J16&gt;=8,"Moyen","Faible")))</f>
        <v>Faible</v>
      </c>
      <c r="L16" s="7" t="s">
        <v>632</v>
      </c>
      <c r="M16" s="7" t="s">
        <v>633</v>
      </c>
      <c r="N16" s="7" t="s">
        <v>634</v>
      </c>
    </row>
    <row r="17" customFormat="false" ht="22.35" hidden="false" customHeight="false" outlineLevel="0" collapsed="false">
      <c r="A17" s="8" t="s">
        <v>552</v>
      </c>
      <c r="B17" s="7" t="s">
        <v>635</v>
      </c>
      <c r="C17" s="7" t="s">
        <v>636</v>
      </c>
      <c r="D17" s="8" t="s">
        <v>422</v>
      </c>
      <c r="E17" s="8" t="s">
        <v>550</v>
      </c>
      <c r="F17" s="7" t="s">
        <v>192</v>
      </c>
      <c r="G17" s="7" t="s">
        <v>143</v>
      </c>
      <c r="H17" s="9" t="n">
        <v>3</v>
      </c>
      <c r="I17" s="9" t="n">
        <v>3</v>
      </c>
      <c r="J17" s="10" t="n">
        <f aca="false">H17*I17</f>
        <v>9</v>
      </c>
      <c r="K17" s="11" t="str">
        <f aca="false">IF(J17&gt;=20,"Critique",IF(J17&gt;=15,"Élevé",IF(J17&gt;=8,"Moyen","Faible")))</f>
        <v>Moyen</v>
      </c>
      <c r="L17" s="7" t="s">
        <v>637</v>
      </c>
      <c r="M17" s="7" t="s">
        <v>89</v>
      </c>
      <c r="N17" s="7" t="s">
        <v>638</v>
      </c>
    </row>
    <row r="19" customFormat="false" ht="15" hidden="false" customHeight="false" outlineLevel="0" collapsed="false">
      <c r="B19" s="12" t="s">
        <v>639</v>
      </c>
    </row>
    <row r="20" customFormat="false" ht="15" hidden="false" customHeight="false" outlineLevel="0" collapsed="false">
      <c r="B20" s="13" t="s">
        <v>640</v>
      </c>
      <c r="C20" s="13" t="n">
        <f aca="false">COUNTIF($K$5:$K$17,B20)</f>
        <v>2</v>
      </c>
    </row>
    <row r="21" customFormat="false" ht="15" hidden="false" customHeight="false" outlineLevel="0" collapsed="false">
      <c r="B21" s="13" t="s">
        <v>641</v>
      </c>
      <c r="C21" s="13" t="n">
        <f aca="false">COUNTIF($K$5:$K$17,B21)</f>
        <v>4</v>
      </c>
    </row>
    <row r="22" customFormat="false" ht="15" hidden="false" customHeight="false" outlineLevel="0" collapsed="false">
      <c r="B22" s="13" t="s">
        <v>642</v>
      </c>
      <c r="C22" s="13" t="n">
        <f aca="false">COUNTIF($K$5:$K$17,B22)</f>
        <v>6</v>
      </c>
    </row>
    <row r="23" customFormat="false" ht="15" hidden="false" customHeight="false" outlineLevel="0" collapsed="false">
      <c r="B23" s="13" t="s">
        <v>290</v>
      </c>
      <c r="C23" s="13" t="n">
        <f aca="false">COUNTIF($K$5:$K$17,B23)</f>
        <v>1</v>
      </c>
    </row>
    <row r="24" customFormat="false" ht="15" hidden="false" customHeight="false" outlineLevel="0" collapsed="false">
      <c r="B24" s="14" t="s">
        <v>643</v>
      </c>
      <c r="C24" s="14" t="n">
        <f aca="false">SUM(C20:C23)</f>
        <v>13</v>
      </c>
    </row>
    <row r="25" customFormat="false" ht="15" hidden="false" customHeight="false" outlineLevel="0" collapsed="false">
      <c r="B25" s="13" t="s">
        <v>644</v>
      </c>
      <c r="C25" s="13" t="n">
        <f aca="false">ROUND(AVERAGE(J5:J17),1)</f>
        <v>12.9</v>
      </c>
    </row>
  </sheetData>
  <conditionalFormatting sqref="K5:K17">
    <cfRule type="cellIs" priority="2" operator="equal" aboveAverage="0" equalAverage="0" bottom="0" percent="0" rank="0" text="" dxfId="0">
      <formula>"Critique"</formula>
    </cfRule>
    <cfRule type="cellIs" priority="3" operator="equal" aboveAverage="0" equalAverage="0" bottom="0" percent="0" rank="0" text="" dxfId="1">
      <formula>"Élevé"</formula>
    </cfRule>
    <cfRule type="cellIs" priority="4" operator="equal" aboveAverage="0" equalAverage="0" bottom="0" percent="0" rank="0" text="" dxfId="2">
      <formula>"Moyen"</formula>
    </cfRule>
    <cfRule type="cellIs" priority="5" operator="equal" aboveAverage="0" equalAverage="0" bottom="0" percent="0" rank="0" text="" dxfId="3">
      <formula>"Faible"</formula>
    </cfRule>
  </conditionalFormatting>
  <dataValidations count="1">
    <dataValidation allowBlank="false" error="Saisir un entier de 1 à 5" errorStyle="stop" operator="between" showDropDown="false" showErrorMessage="true" showInputMessage="false" sqref="H5:I17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6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645</v>
      </c>
    </row>
    <row r="2" customFormat="false" ht="15" hidden="false" customHeight="false" outlineLevel="0" collapsed="false">
      <c r="A2" s="2" t="s">
        <v>646</v>
      </c>
    </row>
    <row r="4" customFormat="false" ht="31.5" hidden="false" customHeight="true" outlineLevel="0" collapsed="false">
      <c r="A4" s="6" t="s">
        <v>431</v>
      </c>
      <c r="B4" s="6" t="s">
        <v>647</v>
      </c>
      <c r="C4" s="6" t="s">
        <v>648</v>
      </c>
      <c r="D4" s="6" t="s">
        <v>244</v>
      </c>
      <c r="E4" s="6" t="s">
        <v>649</v>
      </c>
      <c r="F4" s="6" t="s">
        <v>650</v>
      </c>
      <c r="G4" s="6" t="s">
        <v>651</v>
      </c>
      <c r="H4" s="6" t="s">
        <v>652</v>
      </c>
      <c r="I4" s="6" t="s">
        <v>653</v>
      </c>
      <c r="J4" s="6" t="s">
        <v>654</v>
      </c>
      <c r="K4" s="6" t="s">
        <v>655</v>
      </c>
      <c r="L4" s="6" t="s">
        <v>656</v>
      </c>
      <c r="M4" s="6" t="s">
        <v>657</v>
      </c>
    </row>
    <row r="5" customFormat="false" ht="32.8" hidden="false" customHeight="false" outlineLevel="0" collapsed="false">
      <c r="A5" s="8" t="s">
        <v>440</v>
      </c>
      <c r="B5" s="7" t="s">
        <v>570</v>
      </c>
      <c r="C5" s="15" t="n">
        <f aca="false">INDEX(Registre_Risques!$J$5:$J$17,MATCH(A5,Registre_Risques!$A$5:$A$17,0))</f>
        <v>20</v>
      </c>
      <c r="D5" s="7" t="s">
        <v>658</v>
      </c>
      <c r="E5" s="7" t="s">
        <v>659</v>
      </c>
      <c r="F5" s="7" t="s">
        <v>660</v>
      </c>
      <c r="G5" s="7" t="s">
        <v>661</v>
      </c>
      <c r="H5" s="9" t="n">
        <v>5</v>
      </c>
      <c r="I5" s="9" t="n">
        <v>2</v>
      </c>
      <c r="J5" s="10" t="n">
        <f aca="false">H5*I5</f>
        <v>10</v>
      </c>
      <c r="K5" s="11" t="str">
        <f aca="false">IF(J5&gt;=20,"Critique",IF(J5&gt;=15,"Élevé",IF(J5&gt;=8,"Moyen","Faible")))</f>
        <v>Moyen</v>
      </c>
      <c r="L5" s="7" t="s">
        <v>662</v>
      </c>
      <c r="M5" s="7" t="s">
        <v>663</v>
      </c>
    </row>
    <row r="6" customFormat="false" ht="32.8" hidden="false" customHeight="false" outlineLevel="0" collapsed="false">
      <c r="A6" s="8" t="s">
        <v>470</v>
      </c>
      <c r="B6" s="7" t="s">
        <v>576</v>
      </c>
      <c r="C6" s="15" t="n">
        <f aca="false">INDEX(Registre_Risques!$J$5:$J$17,MATCH(A6,Registre_Risques!$A$5:$A$17,0))</f>
        <v>20</v>
      </c>
      <c r="D6" s="7" t="s">
        <v>658</v>
      </c>
      <c r="E6" s="7" t="s">
        <v>664</v>
      </c>
      <c r="F6" s="7" t="s">
        <v>665</v>
      </c>
      <c r="G6" s="7" t="s">
        <v>666</v>
      </c>
      <c r="H6" s="9" t="n">
        <v>5</v>
      </c>
      <c r="I6" s="9" t="n">
        <v>3</v>
      </c>
      <c r="J6" s="10" t="n">
        <f aca="false">H6*I6</f>
        <v>15</v>
      </c>
      <c r="K6" s="11" t="str">
        <f aca="false">IF(J6&gt;=20,"Critique",IF(J6&gt;=15,"Élevé",IF(J6&gt;=8,"Moyen","Faible")))</f>
        <v>Élevé</v>
      </c>
      <c r="L6" s="7" t="s">
        <v>667</v>
      </c>
      <c r="M6" s="7" t="s">
        <v>668</v>
      </c>
    </row>
    <row r="7" customFormat="false" ht="32.8" hidden="false" customHeight="false" outlineLevel="0" collapsed="false">
      <c r="A7" s="8" t="s">
        <v>457</v>
      </c>
      <c r="B7" s="7" t="s">
        <v>382</v>
      </c>
      <c r="C7" s="15" t="n">
        <f aca="false">INDEX(Registre_Risques!$J$5:$J$17,MATCH(A7,Registre_Risques!$A$5:$A$17,0))</f>
        <v>15</v>
      </c>
      <c r="D7" s="7" t="s">
        <v>658</v>
      </c>
      <c r="E7" s="7" t="s">
        <v>669</v>
      </c>
      <c r="F7" s="7" t="s">
        <v>670</v>
      </c>
      <c r="G7" s="7" t="s">
        <v>671</v>
      </c>
      <c r="H7" s="9" t="n">
        <v>5</v>
      </c>
      <c r="I7" s="9" t="n">
        <v>2</v>
      </c>
      <c r="J7" s="10" t="n">
        <f aca="false">H7*I7</f>
        <v>10</v>
      </c>
      <c r="K7" s="11" t="str">
        <f aca="false">IF(J7&gt;=20,"Critique",IF(J7&gt;=15,"Élevé",IF(J7&gt;=8,"Moyen","Faible")))</f>
        <v>Moyen</v>
      </c>
      <c r="L7" s="7" t="s">
        <v>672</v>
      </c>
      <c r="M7" s="7" t="s">
        <v>663</v>
      </c>
    </row>
    <row r="8" customFormat="false" ht="22.35" hidden="false" customHeight="false" outlineLevel="0" collapsed="false">
      <c r="A8" s="8" t="s">
        <v>531</v>
      </c>
      <c r="B8" s="7" t="s">
        <v>586</v>
      </c>
      <c r="C8" s="15" t="n">
        <f aca="false">INDEX(Registre_Risques!$J$5:$J$17,MATCH(A8,Registre_Risques!$A$5:$A$17,0))</f>
        <v>12</v>
      </c>
      <c r="D8" s="7" t="s">
        <v>673</v>
      </c>
      <c r="E8" s="7" t="s">
        <v>674</v>
      </c>
      <c r="F8" s="7" t="s">
        <v>675</v>
      </c>
      <c r="G8" s="7" t="s">
        <v>676</v>
      </c>
      <c r="H8" s="9" t="n">
        <v>4</v>
      </c>
      <c r="I8" s="9" t="n">
        <v>2</v>
      </c>
      <c r="J8" s="10" t="n">
        <f aca="false">H8*I8</f>
        <v>8</v>
      </c>
      <c r="K8" s="11" t="str">
        <f aca="false">IF(J8&gt;=20,"Critique",IF(J8&gt;=15,"Élevé",IF(J8&gt;=8,"Moyen","Faible")))</f>
        <v>Moyen</v>
      </c>
      <c r="L8" s="7" t="s">
        <v>677</v>
      </c>
      <c r="M8" s="7" t="s">
        <v>678</v>
      </c>
    </row>
    <row r="9" customFormat="false" ht="22.35" hidden="false" customHeight="false" outlineLevel="0" collapsed="false">
      <c r="A9" s="8" t="s">
        <v>507</v>
      </c>
      <c r="B9" s="7" t="s">
        <v>592</v>
      </c>
      <c r="C9" s="15" t="n">
        <f aca="false">INDEX(Registre_Risques!$J$5:$J$17,MATCH(A9,Registre_Risques!$A$5:$A$17,0))</f>
        <v>15</v>
      </c>
      <c r="D9" s="7" t="s">
        <v>658</v>
      </c>
      <c r="E9" s="7" t="s">
        <v>679</v>
      </c>
      <c r="F9" s="7" t="s">
        <v>680</v>
      </c>
      <c r="G9" s="7" t="s">
        <v>681</v>
      </c>
      <c r="H9" s="9" t="n">
        <v>5</v>
      </c>
      <c r="I9" s="9" t="n">
        <v>2</v>
      </c>
      <c r="J9" s="10" t="n">
        <f aca="false">H9*I9</f>
        <v>10</v>
      </c>
      <c r="K9" s="11" t="str">
        <f aca="false">IF(J9&gt;=20,"Critique",IF(J9&gt;=15,"Élevé",IF(J9&gt;=8,"Moyen","Faible")))</f>
        <v>Moyen</v>
      </c>
      <c r="L9" s="7" t="s">
        <v>682</v>
      </c>
      <c r="M9" s="7" t="s">
        <v>663</v>
      </c>
    </row>
    <row r="10" customFormat="false" ht="32.8" hidden="false" customHeight="false" outlineLevel="0" collapsed="false">
      <c r="A10" s="8" t="s">
        <v>482</v>
      </c>
      <c r="B10" s="7" t="s">
        <v>597</v>
      </c>
      <c r="C10" s="15" t="n">
        <f aca="false">INDEX(Registre_Risques!$J$5:$J$17,MATCH(A10,Registre_Risques!$A$5:$A$17,0))</f>
        <v>16</v>
      </c>
      <c r="D10" s="7" t="s">
        <v>658</v>
      </c>
      <c r="E10" s="7" t="s">
        <v>683</v>
      </c>
      <c r="F10" s="7" t="s">
        <v>684</v>
      </c>
      <c r="G10" s="7" t="s">
        <v>685</v>
      </c>
      <c r="H10" s="9" t="n">
        <v>4</v>
      </c>
      <c r="I10" s="9" t="n">
        <v>3</v>
      </c>
      <c r="J10" s="10" t="n">
        <f aca="false">H10*I10</f>
        <v>12</v>
      </c>
      <c r="K10" s="11" t="str">
        <f aca="false">IF(J10&gt;=20,"Critique",IF(J10&gt;=15,"Élevé",IF(J10&gt;=8,"Moyen","Faible")))</f>
        <v>Moyen</v>
      </c>
      <c r="L10" s="7" t="s">
        <v>686</v>
      </c>
      <c r="M10" s="7" t="s">
        <v>663</v>
      </c>
    </row>
    <row r="11" customFormat="false" ht="22.35" hidden="false" customHeight="false" outlineLevel="0" collapsed="false">
      <c r="A11" s="8" t="s">
        <v>494</v>
      </c>
      <c r="B11" s="7" t="s">
        <v>169</v>
      </c>
      <c r="C11" s="15" t="n">
        <f aca="false">INDEX(Registre_Risques!$J$5:$J$17,MATCH(A11,Registre_Risques!$A$5:$A$17,0))</f>
        <v>10</v>
      </c>
      <c r="D11" s="7" t="s">
        <v>658</v>
      </c>
      <c r="E11" s="7" t="s">
        <v>687</v>
      </c>
      <c r="F11" s="7" t="s">
        <v>688</v>
      </c>
      <c r="G11" s="7" t="s">
        <v>689</v>
      </c>
      <c r="H11" s="9" t="n">
        <v>5</v>
      </c>
      <c r="I11" s="9" t="n">
        <v>1</v>
      </c>
      <c r="J11" s="10" t="n">
        <f aca="false">H11*I11</f>
        <v>5</v>
      </c>
      <c r="K11" s="11" t="str">
        <f aca="false">IF(J11&gt;=20,"Critique",IF(J11&gt;=15,"Élevé",IF(J11&gt;=8,"Moyen","Faible")))</f>
        <v>Faible</v>
      </c>
      <c r="L11" s="7" t="s">
        <v>690</v>
      </c>
      <c r="M11" s="7" t="s">
        <v>678</v>
      </c>
    </row>
    <row r="12" customFormat="false" ht="22.35" hidden="false" customHeight="false" outlineLevel="0" collapsed="false">
      <c r="A12" s="8" t="s">
        <v>541</v>
      </c>
      <c r="B12" s="7" t="s">
        <v>606</v>
      </c>
      <c r="C12" s="15" t="n">
        <f aca="false">INDEX(Registre_Risques!$J$5:$J$17,MATCH(A12,Registre_Risques!$A$5:$A$17,0))</f>
        <v>8</v>
      </c>
      <c r="D12" s="7" t="s">
        <v>658</v>
      </c>
      <c r="E12" s="7" t="s">
        <v>691</v>
      </c>
      <c r="F12" s="7" t="s">
        <v>692</v>
      </c>
      <c r="G12" s="7" t="s">
        <v>693</v>
      </c>
      <c r="H12" s="9" t="n">
        <v>3</v>
      </c>
      <c r="I12" s="9" t="n">
        <v>2</v>
      </c>
      <c r="J12" s="10" t="n">
        <f aca="false">H12*I12</f>
        <v>6</v>
      </c>
      <c r="K12" s="11" t="str">
        <f aca="false">IF(J12&gt;=20,"Critique",IF(J12&gt;=15,"Élevé",IF(J12&gt;=8,"Moyen","Faible")))</f>
        <v>Faible</v>
      </c>
      <c r="L12" s="7" t="s">
        <v>694</v>
      </c>
      <c r="M12" s="7" t="s">
        <v>678</v>
      </c>
    </row>
    <row r="13" customFormat="false" ht="22.35" hidden="false" customHeight="false" outlineLevel="0" collapsed="false">
      <c r="A13" s="8" t="s">
        <v>519</v>
      </c>
      <c r="B13" s="7" t="s">
        <v>611</v>
      </c>
      <c r="C13" s="15" t="n">
        <f aca="false">INDEX(Registre_Risques!$J$5:$J$17,MATCH(A13,Registre_Risques!$A$5:$A$17,0))</f>
        <v>12</v>
      </c>
      <c r="D13" s="7" t="s">
        <v>658</v>
      </c>
      <c r="E13" s="7" t="s">
        <v>695</v>
      </c>
      <c r="F13" s="7" t="s">
        <v>696</v>
      </c>
      <c r="G13" s="7" t="s">
        <v>697</v>
      </c>
      <c r="H13" s="9" t="n">
        <v>3</v>
      </c>
      <c r="I13" s="9" t="n">
        <v>2</v>
      </c>
      <c r="J13" s="10" t="n">
        <f aca="false">H13*I13</f>
        <v>6</v>
      </c>
      <c r="K13" s="11" t="str">
        <f aca="false">IF(J13&gt;=20,"Critique",IF(J13&gt;=15,"Élevé",IF(J13&gt;=8,"Moyen","Faible")))</f>
        <v>Faible</v>
      </c>
      <c r="L13" s="7" t="s">
        <v>698</v>
      </c>
      <c r="M13" s="7" t="s">
        <v>678</v>
      </c>
    </row>
    <row r="14" customFormat="false" ht="32.8" hidden="false" customHeight="false" outlineLevel="0" collapsed="false">
      <c r="A14" s="8" t="s">
        <v>616</v>
      </c>
      <c r="B14" s="7" t="s">
        <v>617</v>
      </c>
      <c r="C14" s="15" t="n">
        <f aca="false">INDEX(Registre_Risques!$J$5:$J$17,MATCH(A14,Registre_Risques!$A$5:$A$17,0))</f>
        <v>16</v>
      </c>
      <c r="D14" s="7" t="s">
        <v>658</v>
      </c>
      <c r="E14" s="7" t="s">
        <v>699</v>
      </c>
      <c r="F14" s="7" t="s">
        <v>700</v>
      </c>
      <c r="G14" s="7" t="s">
        <v>701</v>
      </c>
      <c r="H14" s="9" t="n">
        <v>4</v>
      </c>
      <c r="I14" s="9" t="n">
        <v>3</v>
      </c>
      <c r="J14" s="10" t="n">
        <f aca="false">H14*I14</f>
        <v>12</v>
      </c>
      <c r="K14" s="11" t="str">
        <f aca="false">IF(J14&gt;=20,"Critique",IF(J14&gt;=15,"Élevé",IF(J14&gt;=8,"Moyen","Faible")))</f>
        <v>Moyen</v>
      </c>
      <c r="L14" s="7" t="s">
        <v>702</v>
      </c>
      <c r="M14" s="7" t="s">
        <v>703</v>
      </c>
    </row>
    <row r="15" customFormat="false" ht="22.35" hidden="false" customHeight="false" outlineLevel="0" collapsed="false">
      <c r="A15" s="8" t="s">
        <v>622</v>
      </c>
      <c r="B15" s="7" t="s">
        <v>623</v>
      </c>
      <c r="C15" s="15" t="n">
        <f aca="false">INDEX(Registre_Risques!$J$5:$J$17,MATCH(A15,Registre_Risques!$A$5:$A$17,0))</f>
        <v>9</v>
      </c>
      <c r="D15" s="7" t="s">
        <v>658</v>
      </c>
      <c r="E15" s="7" t="s">
        <v>704</v>
      </c>
      <c r="F15" s="7" t="s">
        <v>705</v>
      </c>
      <c r="G15" s="7" t="s">
        <v>706</v>
      </c>
      <c r="H15" s="9" t="n">
        <v>3</v>
      </c>
      <c r="I15" s="9" t="n">
        <v>1</v>
      </c>
      <c r="J15" s="10" t="n">
        <f aca="false">H15*I15</f>
        <v>3</v>
      </c>
      <c r="K15" s="11" t="str">
        <f aca="false">IF(J15&gt;=20,"Critique",IF(J15&gt;=15,"Élevé",IF(J15&gt;=8,"Moyen","Faible")))</f>
        <v>Faible</v>
      </c>
      <c r="L15" s="7" t="s">
        <v>707</v>
      </c>
      <c r="M15" s="7" t="s">
        <v>663</v>
      </c>
    </row>
    <row r="16" customFormat="false" ht="22.35" hidden="false" customHeight="false" outlineLevel="0" collapsed="false">
      <c r="A16" s="8" t="s">
        <v>629</v>
      </c>
      <c r="B16" s="7" t="s">
        <v>630</v>
      </c>
      <c r="C16" s="15" t="n">
        <f aca="false">INDEX(Registre_Risques!$J$5:$J$17,MATCH(A16,Registre_Risques!$A$5:$A$17,0))</f>
        <v>6</v>
      </c>
      <c r="D16" s="7" t="s">
        <v>708</v>
      </c>
      <c r="E16" s="7" t="s">
        <v>709</v>
      </c>
      <c r="F16" s="7" t="s">
        <v>710</v>
      </c>
      <c r="G16" s="7" t="s">
        <v>711</v>
      </c>
      <c r="H16" s="9" t="n">
        <v>3</v>
      </c>
      <c r="I16" s="9" t="n">
        <v>1</v>
      </c>
      <c r="J16" s="10" t="n">
        <f aca="false">H16*I16</f>
        <v>3</v>
      </c>
      <c r="K16" s="11" t="str">
        <f aca="false">IF(J16&gt;=20,"Critique",IF(J16&gt;=15,"Élevé",IF(J16&gt;=8,"Moyen","Faible")))</f>
        <v>Faible</v>
      </c>
      <c r="L16" s="7" t="s">
        <v>712</v>
      </c>
      <c r="M16" s="7" t="s">
        <v>713</v>
      </c>
    </row>
    <row r="17" customFormat="false" ht="22.35" hidden="false" customHeight="false" outlineLevel="0" collapsed="false">
      <c r="A17" s="8" t="s">
        <v>552</v>
      </c>
      <c r="B17" s="7" t="s">
        <v>635</v>
      </c>
      <c r="C17" s="15" t="n">
        <f aca="false">INDEX(Registre_Risques!$J$5:$J$17,MATCH(A17,Registre_Risques!$A$5:$A$17,0))</f>
        <v>9</v>
      </c>
      <c r="D17" s="7" t="s">
        <v>658</v>
      </c>
      <c r="E17" s="7" t="s">
        <v>714</v>
      </c>
      <c r="F17" s="7" t="s">
        <v>715</v>
      </c>
      <c r="G17" s="7" t="s">
        <v>716</v>
      </c>
      <c r="H17" s="9" t="n">
        <v>3</v>
      </c>
      <c r="I17" s="9" t="n">
        <v>2</v>
      </c>
      <c r="J17" s="10" t="n">
        <f aca="false">H17*I17</f>
        <v>6</v>
      </c>
      <c r="K17" s="11" t="str">
        <f aca="false">IF(J17&gt;=20,"Critique",IF(J17&gt;=15,"Élevé",IF(J17&gt;=8,"Moyen","Faible")))</f>
        <v>Faible</v>
      </c>
      <c r="L17" s="7" t="s">
        <v>717</v>
      </c>
      <c r="M17" s="7" t="s">
        <v>678</v>
      </c>
    </row>
    <row r="19" customFormat="false" ht="15" hidden="false" customHeight="false" outlineLevel="0" collapsed="false">
      <c r="B19" s="14" t="s">
        <v>718</v>
      </c>
      <c r="C19" s="14" t="n">
        <f aca="false">SUM(C5:C17)</f>
        <v>168</v>
      </c>
    </row>
    <row r="20" customFormat="false" ht="15" hidden="false" customHeight="false" outlineLevel="0" collapsed="false">
      <c r="B20" s="14" t="s">
        <v>719</v>
      </c>
      <c r="C20" s="14" t="n">
        <f aca="false">SUM(J5:J17)</f>
        <v>106</v>
      </c>
    </row>
    <row r="21" customFormat="false" ht="15" hidden="false" customHeight="false" outlineLevel="0" collapsed="false">
      <c r="B21" s="14" t="s">
        <v>720</v>
      </c>
      <c r="C21" s="16" t="n">
        <f aca="false">ROUND(1-C20/C19,3)</f>
        <v>0.369</v>
      </c>
    </row>
    <row r="24" customFormat="false" ht="15" hidden="false" customHeight="false" outlineLevel="0" collapsed="false">
      <c r="A24" s="12" t="s">
        <v>721</v>
      </c>
    </row>
    <row r="25" customFormat="false" ht="31.5" hidden="false" customHeight="true" outlineLevel="0" collapsed="false">
      <c r="A25" s="6"/>
      <c r="B25" s="6" t="s">
        <v>722</v>
      </c>
      <c r="C25" s="6"/>
      <c r="D25" s="6" t="s">
        <v>723</v>
      </c>
      <c r="E25" s="6" t="s">
        <v>724</v>
      </c>
      <c r="F25" s="6"/>
      <c r="G25" s="6"/>
      <c r="H25" s="6" t="s">
        <v>725</v>
      </c>
    </row>
    <row r="26" customFormat="false" ht="105.95" hidden="false" customHeight="false" outlineLevel="0" collapsed="false">
      <c r="A26" s="7"/>
      <c r="B26" s="7" t="s">
        <v>726</v>
      </c>
      <c r="C26" s="7"/>
      <c r="D26" s="7" t="s">
        <v>663</v>
      </c>
      <c r="E26" s="7" t="s">
        <v>727</v>
      </c>
      <c r="F26" s="7"/>
      <c r="G26" s="7"/>
      <c r="H26" s="7" t="s">
        <v>728</v>
      </c>
    </row>
    <row r="27" customFormat="false" ht="85.05" hidden="false" customHeight="false" outlineLevel="0" collapsed="false">
      <c r="A27" s="7"/>
      <c r="B27" s="7" t="s">
        <v>729</v>
      </c>
      <c r="C27" s="7"/>
      <c r="D27" s="7" t="s">
        <v>730</v>
      </c>
      <c r="E27" s="7" t="s">
        <v>731</v>
      </c>
      <c r="F27" s="7"/>
      <c r="G27" s="7"/>
      <c r="H27" s="7" t="s">
        <v>732</v>
      </c>
    </row>
    <row r="28" customFormat="false" ht="85.05" hidden="false" customHeight="false" outlineLevel="0" collapsed="false">
      <c r="A28" s="7"/>
      <c r="B28" s="7" t="s">
        <v>733</v>
      </c>
      <c r="C28" s="7"/>
      <c r="D28" s="7" t="s">
        <v>734</v>
      </c>
      <c r="E28" s="7" t="s">
        <v>735</v>
      </c>
      <c r="F28" s="7"/>
      <c r="G28" s="7"/>
      <c r="H28" s="7" t="s">
        <v>736</v>
      </c>
    </row>
    <row r="29" customFormat="false" ht="95.5" hidden="false" customHeight="false" outlineLevel="0" collapsed="false">
      <c r="A29" s="7"/>
      <c r="B29" s="7" t="s">
        <v>737</v>
      </c>
      <c r="C29" s="7"/>
      <c r="D29" s="7" t="s">
        <v>678</v>
      </c>
      <c r="E29" s="7" t="s">
        <v>738</v>
      </c>
      <c r="F29" s="7"/>
      <c r="G29" s="7"/>
      <c r="H29" s="7" t="s">
        <v>739</v>
      </c>
    </row>
    <row r="30" customFormat="false" ht="105.95" hidden="false" customHeight="false" outlineLevel="0" collapsed="false">
      <c r="A30" s="7"/>
      <c r="B30" s="7" t="s">
        <v>740</v>
      </c>
      <c r="C30" s="7"/>
      <c r="D30" s="7" t="s">
        <v>741</v>
      </c>
      <c r="E30" s="7" t="s">
        <v>742</v>
      </c>
      <c r="F30" s="7"/>
      <c r="G30" s="7"/>
      <c r="H30" s="7" t="s">
        <v>743</v>
      </c>
    </row>
  </sheetData>
  <conditionalFormatting sqref="K5:K17">
    <cfRule type="cellIs" priority="2" operator="equal" aboveAverage="0" equalAverage="0" bottom="0" percent="0" rank="0" text="" dxfId="0">
      <formula>"Critique"</formula>
    </cfRule>
    <cfRule type="cellIs" priority="3" operator="equal" aboveAverage="0" equalAverage="0" bottom="0" percent="0" rank="0" text="" dxfId="1">
      <formula>"Élevé"</formula>
    </cfRule>
    <cfRule type="cellIs" priority="4" operator="equal" aboveAverage="0" equalAverage="0" bottom="0" percent="0" rank="0" text="" dxfId="2">
      <formula>"Moyen"</formula>
    </cfRule>
    <cfRule type="cellIs" priority="5" operator="equal" aboveAverage="0" equalAverage="0" bottom="0" percent="0" rank="0" text="" dxfId="3">
      <formula>"Faible"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744</v>
      </c>
    </row>
    <row r="3" customFormat="false" ht="15" hidden="false" customHeight="false" outlineLevel="0" collapsed="false">
      <c r="A3" s="12" t="s">
        <v>745</v>
      </c>
    </row>
    <row r="4" customFormat="false" ht="31.5" hidden="false" customHeight="true" outlineLevel="0" collapsed="false">
      <c r="A4" s="6" t="s">
        <v>154</v>
      </c>
      <c r="B4" s="6" t="s">
        <v>746</v>
      </c>
      <c r="C4" s="6" t="s">
        <v>747</v>
      </c>
    </row>
    <row r="5" customFormat="false" ht="15" hidden="false" customHeight="false" outlineLevel="0" collapsed="false">
      <c r="A5" s="8" t="n">
        <v>1</v>
      </c>
      <c r="B5" s="7" t="s">
        <v>748</v>
      </c>
      <c r="C5" s="7" t="s">
        <v>749</v>
      </c>
    </row>
    <row r="6" customFormat="false" ht="15" hidden="false" customHeight="false" outlineLevel="0" collapsed="false">
      <c r="A6" s="8" t="n">
        <v>2</v>
      </c>
      <c r="B6" s="7" t="s">
        <v>750</v>
      </c>
      <c r="C6" s="7" t="s">
        <v>751</v>
      </c>
    </row>
    <row r="7" customFormat="false" ht="15" hidden="false" customHeight="false" outlineLevel="0" collapsed="false">
      <c r="A7" s="8" t="n">
        <v>3</v>
      </c>
      <c r="B7" s="7" t="s">
        <v>752</v>
      </c>
      <c r="C7" s="7" t="s">
        <v>753</v>
      </c>
    </row>
    <row r="8" customFormat="false" ht="15" hidden="false" customHeight="false" outlineLevel="0" collapsed="false">
      <c r="A8" s="8" t="n">
        <v>4</v>
      </c>
      <c r="B8" s="7" t="s">
        <v>754</v>
      </c>
      <c r="C8" s="7" t="s">
        <v>755</v>
      </c>
    </row>
    <row r="9" customFormat="false" ht="22.35" hidden="false" customHeight="false" outlineLevel="0" collapsed="false">
      <c r="A9" s="8" t="n">
        <v>5</v>
      </c>
      <c r="B9" s="7" t="s">
        <v>640</v>
      </c>
      <c r="C9" s="7" t="s">
        <v>756</v>
      </c>
    </row>
    <row r="11" customFormat="false" ht="15" hidden="false" customHeight="false" outlineLevel="0" collapsed="false">
      <c r="A11" s="12" t="s">
        <v>757</v>
      </c>
    </row>
    <row r="12" customFormat="false" ht="31.5" hidden="false" customHeight="true" outlineLevel="0" collapsed="false">
      <c r="A12" s="6" t="s">
        <v>154</v>
      </c>
      <c r="B12" s="6" t="s">
        <v>746</v>
      </c>
      <c r="C12" s="6" t="s">
        <v>747</v>
      </c>
    </row>
    <row r="13" customFormat="false" ht="15" hidden="false" customHeight="false" outlineLevel="0" collapsed="false">
      <c r="A13" s="8" t="n">
        <v>1</v>
      </c>
      <c r="B13" s="7" t="s">
        <v>758</v>
      </c>
      <c r="C13" s="7" t="s">
        <v>759</v>
      </c>
    </row>
    <row r="14" customFormat="false" ht="15" hidden="false" customHeight="false" outlineLevel="0" collapsed="false">
      <c r="A14" s="8" t="n">
        <v>2</v>
      </c>
      <c r="B14" s="7" t="s">
        <v>760</v>
      </c>
      <c r="C14" s="7" t="s">
        <v>761</v>
      </c>
    </row>
    <row r="15" customFormat="false" ht="15" hidden="false" customHeight="false" outlineLevel="0" collapsed="false">
      <c r="A15" s="8" t="n">
        <v>3</v>
      </c>
      <c r="B15" s="7" t="s">
        <v>762</v>
      </c>
      <c r="C15" s="7" t="s">
        <v>763</v>
      </c>
    </row>
    <row r="16" customFormat="false" ht="15" hidden="false" customHeight="false" outlineLevel="0" collapsed="false">
      <c r="A16" s="8" t="n">
        <v>4</v>
      </c>
      <c r="B16" s="7" t="s">
        <v>764</v>
      </c>
      <c r="C16" s="7" t="s">
        <v>765</v>
      </c>
    </row>
    <row r="17" customFormat="false" ht="15" hidden="false" customHeight="false" outlineLevel="0" collapsed="false">
      <c r="A17" s="8" t="n">
        <v>5</v>
      </c>
      <c r="B17" s="7" t="s">
        <v>766</v>
      </c>
      <c r="C17" s="7" t="s">
        <v>767</v>
      </c>
    </row>
    <row r="19" customFormat="false" ht="15" hidden="false" customHeight="false" outlineLevel="0" collapsed="false">
      <c r="A19" s="12" t="s">
        <v>768</v>
      </c>
    </row>
    <row r="20" customFormat="false" ht="31.5" hidden="false" customHeight="true" outlineLevel="0" collapsed="false">
      <c r="A20" s="6" t="s">
        <v>154</v>
      </c>
      <c r="B20" s="6" t="s">
        <v>769</v>
      </c>
      <c r="C20" s="6" t="s">
        <v>770</v>
      </c>
    </row>
    <row r="21" customFormat="false" ht="15" hidden="false" customHeight="false" outlineLevel="0" collapsed="false">
      <c r="A21" s="8" t="s">
        <v>640</v>
      </c>
      <c r="B21" s="8" t="s">
        <v>771</v>
      </c>
      <c r="C21" s="7" t="s">
        <v>772</v>
      </c>
    </row>
    <row r="22" customFormat="false" ht="15" hidden="false" customHeight="false" outlineLevel="0" collapsed="false">
      <c r="A22" s="8" t="s">
        <v>641</v>
      </c>
      <c r="B22" s="8" t="s">
        <v>773</v>
      </c>
      <c r="C22" s="7" t="s">
        <v>774</v>
      </c>
    </row>
    <row r="23" customFormat="false" ht="15" hidden="false" customHeight="false" outlineLevel="0" collapsed="false">
      <c r="A23" s="8" t="s">
        <v>642</v>
      </c>
      <c r="B23" s="8" t="s">
        <v>775</v>
      </c>
      <c r="C23" s="7" t="s">
        <v>776</v>
      </c>
    </row>
    <row r="24" customFormat="false" ht="15" hidden="false" customHeight="false" outlineLevel="0" collapsed="false">
      <c r="A24" s="8" t="s">
        <v>290</v>
      </c>
      <c r="B24" s="8" t="s">
        <v>777</v>
      </c>
      <c r="C24" s="7" t="s">
        <v>778</v>
      </c>
    </row>
    <row r="26" customFormat="false" ht="15" hidden="false" customHeight="false" outlineLevel="0" collapsed="false">
      <c r="A26" s="12" t="s">
        <v>779</v>
      </c>
    </row>
    <row r="27" customFormat="false" ht="31.5" hidden="false" customHeight="true" outlineLevel="0" collapsed="false">
      <c r="A27" s="6" t="s">
        <v>154</v>
      </c>
      <c r="B27" s="6" t="s">
        <v>746</v>
      </c>
      <c r="C27" s="6" t="s">
        <v>747</v>
      </c>
    </row>
    <row r="28" customFormat="false" ht="15" hidden="false" customHeight="false" outlineLevel="0" collapsed="false">
      <c r="A28" s="8" t="n">
        <v>3</v>
      </c>
      <c r="B28" s="7" t="s">
        <v>780</v>
      </c>
      <c r="C28" s="7" t="s">
        <v>781</v>
      </c>
    </row>
    <row r="29" customFormat="false" ht="15" hidden="false" customHeight="false" outlineLevel="0" collapsed="false">
      <c r="A29" s="8" t="n">
        <v>2</v>
      </c>
      <c r="B29" s="7" t="s">
        <v>782</v>
      </c>
      <c r="C29" s="7" t="s">
        <v>783</v>
      </c>
    </row>
    <row r="30" customFormat="false" ht="15" hidden="false" customHeight="false" outlineLevel="0" collapsed="false">
      <c r="A30" s="8" t="n">
        <v>1</v>
      </c>
      <c r="B30" s="7" t="s">
        <v>784</v>
      </c>
      <c r="C30" s="7" t="s">
        <v>785</v>
      </c>
    </row>
    <row r="31" customFormat="false" ht="22.35" hidden="false" customHeight="false" outlineLevel="0" collapsed="false">
      <c r="A31" s="8" t="n">
        <v>0</v>
      </c>
      <c r="B31" s="7" t="s">
        <v>786</v>
      </c>
      <c r="C31" s="7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2026-10-06T21:49:02Z</dcterms:created>
  <dc:creator>openpyxl</dc:creator>
  <dc:description/>
  <dc:language>en-US</dc:language>
  <cp:lastModifiedBy/>
  <dcterms:modified xsi:type="dcterms:W3CDTF">2026-10-06T21:49:02Z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