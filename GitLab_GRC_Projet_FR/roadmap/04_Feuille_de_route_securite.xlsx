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euille_de_route" sheetId="1" state="visible" r:id="rId3"/>
    <sheet name="Ref_Risques" sheetId="2" state="visible" r:id="rId4"/>
    <sheet name="Synthese_Phases" sheetId="3" state="visible" r:id="rId5"/>
    <sheet name="Risques_vers_Actions" sheetId="4" state="visible" r:id="rId6"/>
    <sheet name="Frise_visuelle"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<sst xmlns="http://schemas.openxmlformats.org/spreadsheetml/2006/main" count="383" uniqueCount="267">
  <si>
    <t xml:space="preserve">Livrable 4 - Feuille de route d'amélioration de la sécurité (24 mois)</t>
  </si>
  <si>
    <t xml:space="preserve">Indice de priorité = 2 x score du risque lié le plus élevé + 4 x urgence + 2 x (6 - effort). P1 &gt;= 62, P2 48-61, P3 &lt; 48. Cellules grises en gras = saisies de jugement. Les cellules du Gantt sont des formules pilotées par Début et Durée.</t>
  </si>
  <si>
    <t xml:space="preserve">Mois -&gt;</t>
  </si>
  <si>
    <t xml:space="preserve">ID</t>
  </si>
  <si>
    <t xml:space="preserve">Action</t>
  </si>
  <si>
    <t xml:space="preserve">Description</t>
  </si>
  <si>
    <t xml:space="preserve">Exigences PSSI</t>
  </si>
  <si>
    <t xml:space="preserve">Risque principal</t>
  </si>
  <si>
    <t xml:space="preserve">Risque secondaire</t>
  </si>
  <si>
    <t xml:space="preserve">Responsable proposé</t>
  </si>
  <si>
    <t xml:space="preserve">Début (mois)</t>
  </si>
  <si>
    <t xml:space="preserve">Durée (mois)</t>
  </si>
  <si>
    <t xml:space="preserve">Fin (mois)</t>
  </si>
  <si>
    <t xml:space="preserve">Effort (1-5)</t>
  </si>
  <si>
    <t xml:space="preserve">Urgence (1-5)</t>
  </si>
  <si>
    <t xml:space="preserve">Score du risque max</t>
  </si>
  <si>
    <t xml:space="preserve">Indice de priorité</t>
  </si>
  <si>
    <t xml:space="preserve">Priorité</t>
  </si>
  <si>
    <t xml:space="preserve">Tranche</t>
  </si>
  <si>
    <t xml:space="preserve">Dépend de</t>
  </si>
  <si>
    <t xml:space="preserve">Mesure de succès / indicateur</t>
  </si>
  <si>
    <t xml:space="preserve">1</t>
  </si>
  <si>
    <t xml:space="preserve">2</t>
  </si>
  <si>
    <t xml:space="preserve">3</t>
  </si>
  <si>
    <t xml:space="preserve">4</t>
  </si>
  <si>
    <t xml:space="preserve">5</t>
  </si>
  <si>
    <t xml:space="preserve">6</t>
  </si>
  <si>
    <t xml:space="preserve">7</t>
  </si>
  <si>
    <t xml:space="preserve">8</t>
  </si>
  <si>
    <t xml:space="preserve">9</t>
  </si>
  <si>
    <t xml:space="preserve">10</t>
  </si>
  <si>
    <t xml:space="preserve">11</t>
  </si>
  <si>
    <t xml:space="preserve">12</t>
  </si>
  <si>
    <t xml:space="preserve">13</t>
  </si>
  <si>
    <t xml:space="preserve">14</t>
  </si>
  <si>
    <t xml:space="preserve">15</t>
  </si>
  <si>
    <t xml:space="preserve">16</t>
  </si>
  <si>
    <t xml:space="preserve">17</t>
  </si>
  <si>
    <t xml:space="preserve">18</t>
  </si>
  <si>
    <t xml:space="preserve">19</t>
  </si>
  <si>
    <t xml:space="preserve">20</t>
  </si>
  <si>
    <t xml:space="preserve">21</t>
  </si>
  <si>
    <t xml:space="preserve">22</t>
  </si>
  <si>
    <t xml:space="preserve">23</t>
  </si>
  <si>
    <t xml:space="preserve">24</t>
  </si>
  <si>
    <t xml:space="preserve">A-01</t>
  </si>
  <si>
    <t xml:space="preserve">Charte de continuité de la gouvernance et assurance pendant l'intérim</t>
  </si>
  <si>
    <t xml:space="preserve">Documenter droits de décision, suppléants et autorité d'acceptation des risques pendant la transition du RSSI ; aligner le plan à 90 jours du futur RSSI sur cette feuille de route ; informer le comité d'audit.</t>
  </si>
  <si>
    <t xml:space="preserve">GOV-01, GOV-02</t>
  </si>
  <si>
    <t xml:space="preserve">R-11</t>
  </si>
  <si>
    <t xml:space="preserve">R-01</t>
  </si>
  <si>
    <t xml:space="preserve">Président du comité d'audit / DG avec le RSSI par intérim</t>
  </si>
  <si>
    <t xml:space="preserve">None</t>
  </si>
  <si>
    <t xml:space="preserve">Charte approuvée ; responsables nommés pour tous les risques Critiques/Élevés</t>
  </si>
  <si>
    <t xml:space="preserve">A-02</t>
  </si>
  <si>
    <t xml:space="preserve">Playbook de réponse aux vulnérabilités critiques et KEV</t>
  </si>
  <si>
    <t xml:space="preserve">Codifier les étapes de la détection à l'avis puis au correctif, correction SaaS en priorité, modèles d'avis aux clients, politique de versions supportées et de rétroportage vers les versions en fin de vie, et options de réduction d'exposition pour l'auto-hébergé.</t>
  </si>
  <si>
    <t xml:space="preserve">SSC-03, SSC-05, RES-03</t>
  </si>
  <si>
    <t xml:space="preserve">R-10</t>
  </si>
  <si>
    <t xml:space="preserve">R-02</t>
  </si>
  <si>
    <t xml:space="preserve">VP Sécurité produit avec Support et Communication</t>
  </si>
  <si>
    <t xml:space="preserve">Playbook approuvé ; délai cible entre correctif et avis défini et tenu</t>
  </si>
  <si>
    <t xml:space="preserve">A-03</t>
  </si>
  <si>
    <t xml:space="preserve">Modèle de menaces de l'IA et socle de garde-fous pour Duo Agent Platform et les périmètres MCP</t>
  </si>
  <si>
    <t xml:space="preserve">Modéliser les menaces d'injection de prompt, de détournement d'outils et de fuite de données ; imposer des jetons d'agent à périmètre minimal et courte durée et des portes d'approbation pour les actions sensibles.</t>
  </si>
  <si>
    <t xml:space="preserve">AI-01, AI-02</t>
  </si>
  <si>
    <t xml:space="preserve">R-06</t>
  </si>
  <si>
    <t xml:space="preserve">Responsable Sécurité de l'IA</t>
  </si>
  <si>
    <t xml:space="preserve">Modèle de menaces approuvé ; 100 % des jetons d'agent à périmètre appliqué</t>
  </si>
  <si>
    <t xml:space="preserve">A-04</t>
  </si>
  <si>
    <t xml:space="preserve">MFA résistant à l'hameçonnage et durcissement des sessions pour les accès privilégiés et de production</t>
  </si>
  <si>
    <t xml:space="preserve">Imposer FIDO2/passkeys pour le Tier-0 et les rôles d'ingénierie ; raccourcir et lier les sessions ; contrôles de posture de l'appareil.</t>
  </si>
  <si>
    <t xml:space="preserve">IAM-02, IAM-01</t>
  </si>
  <si>
    <t xml:space="preserve">R-08</t>
  </si>
  <si>
    <t xml:space="preserve">Responsable Identités et Accès / IT</t>
  </si>
  <si>
    <t xml:space="preserve">A-05</t>
  </si>
  <si>
    <t xml:space="preserve">100 % des connexions privilégiées résistantes à l'hameçonnage ; durée de session Tier-0 réduite</t>
  </si>
  <si>
    <t xml:space="preserve">Inventaire et hiérarchisation (Tier-0) des accès privilégiés</t>
  </si>
  <si>
    <t xml:space="preserve">Inventorier et classifier tous les chemins privilégiés : racines d'organisation cloud, Switchboard, bases de production et Gitaly, administrateurs IdP, administration CI/CD et clés de signature.</t>
  </si>
  <si>
    <t xml:space="preserve">IAM-01</t>
  </si>
  <si>
    <t xml:space="preserve">R-07</t>
  </si>
  <si>
    <t xml:space="preserve">Responsable Identités et Accès</t>
  </si>
  <si>
    <t xml:space="preserve">100 % des comptes Tier-0 inventoriés et attribués à un propriétaire</t>
  </si>
  <si>
    <t xml:space="preserve">A-06</t>
  </si>
  <si>
    <t xml:space="preserve">Pack d'indicateurs de sécurité et de reporting au conseil</t>
  </si>
  <si>
    <t xml:space="preserve">Définir 12 à 15 indicateurs de résultat issus de la PSSI (couverture privilégiée, délai de correction, ancienneté des tests de reprise, constats d'IA) et les rapporter chaque trimestre au comité d'audit.</t>
  </si>
  <si>
    <t xml:space="preserve">GOV-04</t>
  </si>
  <si>
    <t xml:space="preserve">Responsable Gouvernance de la sécurité</t>
  </si>
  <si>
    <t xml:space="preserve">Premier pack trimestriel livré ; tous les indicateurs ont cible et responsable</t>
  </si>
  <si>
    <t xml:space="preserve">A-07</t>
  </si>
  <si>
    <t xml:space="preserve">Hygiène des certifications : rapprocher l'édition ISO et les déclarations de périmètre publiques</t>
  </si>
  <si>
    <t xml:space="preserve">Aligner Trust Center, handbook et communiqués sur le certificat en vigueur (édition ISO 27001:2022) et publier une cartographie certifications-produits.</t>
  </si>
  <si>
    <t xml:space="preserve">CMP-01, CMP-02</t>
  </si>
  <si>
    <t xml:space="preserve">R-12</t>
  </si>
  <si>
    <t xml:space="preserve">Directeur Conformité sécurité</t>
  </si>
  <si>
    <t xml:space="preserve">Toutes les pages publiques cohérentes avec l'édition du certificat</t>
  </si>
  <si>
    <t xml:space="preserve">A-08</t>
  </si>
  <si>
    <t xml:space="preserve">Exercice sur table : zero-day critique pré-authentification sur GitLab.com, Dedicated et auto-hébergé</t>
  </si>
  <si>
    <t xml:space="preserve">Répéter les décisions de direction, la communication et la réponse technique pour une faille de classe KEV.</t>
  </si>
  <si>
    <t xml:space="preserve">RES-03</t>
  </si>
  <si>
    <t xml:space="preserve">Opérations de sécurité / Continuité d'activité</t>
  </si>
  <si>
    <t xml:space="preserve">Exercice réalisé ; actions consignées et suivies</t>
  </si>
  <si>
    <t xml:space="preserve">A-09</t>
  </si>
  <si>
    <t xml:space="preserve">Programme d'intégrité du build et des releases</t>
  </si>
  <si>
    <t xml:space="preserve">Mettre en œuvre provenance et signature vérifiables, builders éphémères hermétiques, clés de signature protégées et approbation à deux personnes des changements impactant la release ; publier une attestation.</t>
  </si>
  <si>
    <t xml:space="preserve">SSC-01</t>
  </si>
  <si>
    <t xml:space="preserve">R-03</t>
  </si>
  <si>
    <t xml:space="preserve">VP Ingénierie / Ingénierie de release</t>
  </si>
  <si>
    <t xml:space="preserve">100 % des artefacts de release avec provenance ; attestation publique</t>
  </si>
  <si>
    <t xml:space="preserve">A-10</t>
  </si>
  <si>
    <t xml:space="preserve">Programme d'identités machines et de secrets</t>
  </si>
  <si>
    <t xml:space="preserve">Inventorier comptes de service, jetons CI, clés de déploiement et jetons d'agent ; imposer propriétaire, périmètre, expiration et rotation ; étendre la détection interne de secrets.</t>
  </si>
  <si>
    <t xml:space="preserve">IAM-04</t>
  </si>
  <si>
    <t xml:space="preserve">R-13</t>
  </si>
  <si>
    <t xml:space="preserve">Sécurité des plateformes</t>
  </si>
  <si>
    <t xml:space="preserve">95 %+ des identités machines avec propriétaire et expiration</t>
  </si>
  <si>
    <t xml:space="preserve">A-11</t>
  </si>
  <si>
    <t xml:space="preserve">Revue de durcissement du plan de contrôle Dedicated et test d'intrusion indépendant inter-tenants</t>
  </si>
  <si>
    <t xml:space="preserve">Revoir l'accès des opérateurs, les rôles inter-comptes et Switchboard ; commander un test indépendant des chemins inter-tenants ; publier une synthèse.</t>
  </si>
  <si>
    <t xml:space="preserve">CLD-02</t>
  </si>
  <si>
    <t xml:space="preserve">Directeur Ingénierie Dedicated / Sécurité</t>
  </si>
  <si>
    <t xml:space="preserve">Test réalisé ; constats critiques corrigés dans le SLA</t>
  </si>
  <si>
    <t xml:space="preserve">A-12</t>
  </si>
  <si>
    <t xml:space="preserve">Référentiel de risque interne et d'accès des prestataires/PEO</t>
  </si>
  <si>
    <t xml:space="preserve">Appliquer la même vérification, formation et recertification aux prestataires et au personnel PEO ; définir la surveillance du risque interne pour les rôles Tier-0 conformément au droit local.</t>
  </si>
  <si>
    <t xml:space="preserve">IAM-03, PPL-01, PPL-02</t>
  </si>
  <si>
    <t xml:space="preserve">RH / Responsable Identités et Accès</t>
  </si>
  <si>
    <t xml:space="preserve">Parité des mesures démontrée pour tous les types d'engagement</t>
  </si>
  <si>
    <t xml:space="preserve">A-13</t>
  </si>
  <si>
    <t xml:space="preserve">Validation de la reprise régionale de bout en bout et attestation des RTO/RPO</t>
  </si>
  <si>
    <t xml:space="preserve">Exécuter et mesurer une reprise complète après perte régionale pour GitLab.com ; clore les constats ; publier les RTO/RPO mesurés dans le Trust Center.</t>
  </si>
  <si>
    <t xml:space="preserve">RES-01</t>
  </si>
  <si>
    <t xml:space="preserve">R-05</t>
  </si>
  <si>
    <t xml:space="preserve">R-04</t>
  </si>
  <si>
    <t xml:space="preserve">VP Infrastructure</t>
  </si>
  <si>
    <t xml:space="preserve">RTO/RPO mesurés dans la cible ; répétition annuelle planifiée</t>
  </si>
  <si>
    <t xml:space="preserve">A-14</t>
  </si>
  <si>
    <t xml:space="preserve">Registre des tiers et de la concentration cloud avec plans de mode dégradé et de sortie</t>
  </si>
  <si>
    <t xml:space="preserve">Classer les sous-traitants par niveau, évaluer la concentration sur GCP, AWS et les fournisseurs d'IA, documenter le fonctionnement en mode dégradé et la bascule testée entre modèles.</t>
  </si>
  <si>
    <t xml:space="preserve">TPM-01, TPM-02, AI-03</t>
  </si>
  <si>
    <t xml:space="preserve">Responsable Risques tiers / Achats</t>
  </si>
  <si>
    <t xml:space="preserve">Plans pour tous les fournisseurs critiques ; une bascule testée</t>
  </si>
  <si>
    <t xml:space="preserve">A-15</t>
  </si>
  <si>
    <t xml:space="preserve">Garde-fous de transparence responsable</t>
  </si>
  <si>
    <t xml:space="preserve">Ajouter des portes de classification et la détection automatisée de secrets/PII pour le handbook, les issues publiques et les merge requests, avec procédures de rotation rapide.</t>
  </si>
  <si>
    <t xml:space="preserve">TRN-01, IAM-04</t>
  </si>
  <si>
    <t xml:space="preserve">Responsable Assurance sécurité</t>
  </si>
  <si>
    <t xml:space="preserve">Aucun secret non corrigé &gt; 24 h dans le contenu public</t>
  </si>
  <si>
    <t xml:space="preserve">A-16</t>
  </si>
  <si>
    <t xml:space="preserve">Ingénierie de détection et purple teaming sur les chemins d'attaque prioritaires</t>
  </si>
  <si>
    <t xml:space="preserve">Construire et tester des détections pour les scénarios OS-01..OS-09 (vol de session, altération de release, exploitation N-day, détournement d'agents, abus du plan de contrôle).</t>
  </si>
  <si>
    <t xml:space="preserve">MON-01, MON-02</t>
  </si>
  <si>
    <t xml:space="preserve">Opérations de sécurité</t>
  </si>
  <si>
    <t xml:space="preserve">80 % des chemins d'attaque prioritaires avec détections testées</t>
  </si>
  <si>
    <t xml:space="preserve">A-17</t>
  </si>
  <si>
    <t xml:space="preserve">Publier les indicateurs de réponse aux vulnérabilités et de délai de correction</t>
  </si>
  <si>
    <t xml:space="preserve">Rapporter les délais de diffusion des avis et de correction SaaS, l'adoption des versions supportées et les dates de tests de reprise dans le Trust Center.</t>
  </si>
  <si>
    <t xml:space="preserve">SSC-03, CMP-02</t>
  </si>
  <si>
    <t xml:space="preserve">VP Sécurité produit / Assurance sécurité</t>
  </si>
  <si>
    <t xml:space="preserve">A-02, A-06</t>
  </si>
  <si>
    <t xml:space="preserve">Indicateurs publiés chaque trimestre</t>
  </si>
  <si>
    <t xml:space="preserve">A-18</t>
  </si>
  <si>
    <t xml:space="preserve">Sauvegardes immuables inter-comptes avec identité de reprise distincte</t>
  </si>
  <si>
    <t xml:space="preserve">Étendre les sauvegardes immuables inter-comptes et un rôle de reprise sans droit de suppression à tous les jeux de données critiques.</t>
  </si>
  <si>
    <t xml:space="preserve">RES-02</t>
  </si>
  <si>
    <t xml:space="preserve">VP Infrastructure / Stockage</t>
  </si>
  <si>
    <t xml:space="preserve">100 % des jeux de données critiques avec copie immuable</t>
  </si>
  <si>
    <t xml:space="preserve">A-19</t>
  </si>
  <si>
    <t xml:space="preserve">Gouvernance des contributeurs et des dépendances</t>
  </si>
  <si>
    <t xml:space="preserve">Durcir les comptes de mainteneurs, ajouter SBOM et épinglage des dépendances pour les composants produit, filtrage des paquets malveillants et portes de revue.</t>
  </si>
  <si>
    <t xml:space="preserve">SSC-02</t>
  </si>
  <si>
    <t xml:space="preserve">VP Ingénierie / Sécurité produit</t>
  </si>
  <si>
    <t xml:space="preserve">100 % des mainteneurs avec MFA résistant à l'hameçonnage ; couverture SBOM &gt; 90 %</t>
  </si>
  <si>
    <t xml:space="preserve">A-20</t>
  </si>
  <si>
    <t xml:space="preserve">Durcissement de l'isolation des runners partagés et analytique d'abus</t>
  </si>
  <si>
    <t xml:space="preserve">Vérifier l'isolation à usage unique, les contrôles de sortie et de métadonnées ; déployer un scoring d'abus et une suspension rapide.</t>
  </si>
  <si>
    <t xml:space="preserve">CLD-03</t>
  </si>
  <si>
    <t xml:space="preserve">R-09</t>
  </si>
  <si>
    <t xml:space="preserve">Directeur Plateforme Runners</t>
  </si>
  <si>
    <t xml:space="preserve">Tests d'isolation réussis ; délai moyen de suspension des abus défini</t>
  </si>
  <si>
    <t xml:space="preserve">A-21</t>
  </si>
  <si>
    <t xml:space="preserve">Zéro privilège permanent et élévation juste-à-temps pour la production</t>
  </si>
  <si>
    <t xml:space="preserve">Remplacer les privilèges permanents de production et cloud par une élévation JIT limitée dans le temps, approuvée et journalisée.</t>
  </si>
  <si>
    <t xml:space="preserve">Responsable Identités et Accès / SRE</t>
  </si>
  <si>
    <t xml:space="preserve">A-05, A-04</t>
  </si>
  <si>
    <t xml:space="preserve">90 % des accès de production via JIT</t>
  </si>
  <si>
    <t xml:space="preserve">A-22</t>
  </si>
  <si>
    <t xml:space="preserve">Assurance de l'IA agentique : red teaming continu, nomenclature IA, policy-as-code</t>
  </si>
  <si>
    <t xml:space="preserve">Opérationnaliser le red teaming continu des agents et les garde-fous policy-as-code ; tenir une nomenclature IA (AI-BOM) des modèles et outils.</t>
  </si>
  <si>
    <t xml:space="preserve">AI-01, AI-02, AI-03</t>
  </si>
  <si>
    <t xml:space="preserve">Cycles de red team trimestriels ; aucun constat critique d'agent ouvert &gt; 30 jours</t>
  </si>
  <si>
    <t xml:space="preserve">A-23</t>
  </si>
  <si>
    <t xml:space="preserve">Architecture de résilience : réduire le rayon d'impact (cellules, multi-région pour les services critiques)</t>
  </si>
  <si>
    <t xml:space="preserve">Faire progresser l'architecture en cellules et la bascule régionale afin qu'un événement mono-région n'exige plus une reconstruction complète.</t>
  </si>
  <si>
    <t xml:space="preserve">RES-01, RES-02</t>
  </si>
  <si>
    <t xml:space="preserve">Les services critiques reprennent dans une seconde région dans la cible</t>
  </si>
  <si>
    <t xml:space="preserve">A-24</t>
  </si>
  <si>
    <t xml:space="preserve">Extension et maintien des certifications (FedRAMP High, surveillance ISO 42001)</t>
  </si>
  <si>
    <t xml:space="preserve">Maintenir ISO 42001 et viser FedRAMP High selon la feuille de route avec preuves de surveillance continue.</t>
  </si>
  <si>
    <t xml:space="preserve">CMP-01</t>
  </si>
  <si>
    <t xml:space="preserve">A-25</t>
  </si>
  <si>
    <t xml:space="preserve">Jalon d'autorisation FedRAMP High atteint</t>
  </si>
  <si>
    <t xml:space="preserve">Surveillance continue des mesures et automatisation des preuves</t>
  </si>
  <si>
    <t xml:space="preserve">Automatiser la collecte de preuves à partir du GitLab Control Framework et exposer l'état des mesures à la direction.</t>
  </si>
  <si>
    <t xml:space="preserve">CMP-01, GOV-03</t>
  </si>
  <si>
    <t xml:space="preserve">70 % des mesures testées automatiquement</t>
  </si>
  <si>
    <t xml:space="preserve">A-26</t>
  </si>
  <si>
    <t xml:space="preserve">Quantification des risques et cycle EBIOS RM annuel dans l'ERM</t>
  </si>
  <si>
    <t xml:space="preserve">Ajouter une quantification fondée sur les pertes pour les principaux risques et intégrer la mise à jour annuelle EBIOS RM à la gestion des risques d'entreprise.</t>
  </si>
  <si>
    <t xml:space="preserve">GOV-02</t>
  </si>
  <si>
    <t xml:space="preserve">RSSI / Audit interne</t>
  </si>
  <si>
    <t xml:space="preserve">Cycle annuel réalisé ; 5 principaux risques quantifiés</t>
  </si>
  <si>
    <t xml:space="preserve">Référentiel des risques (copié du Livrable 2, Registre_Risques - mettre à jour les deux si les scores changent)</t>
  </si>
  <si>
    <t xml:space="preserve">Risque</t>
  </si>
  <si>
    <t xml:space="preserve">Intitulé</t>
  </si>
  <si>
    <t xml:space="preserve">Score inhérent</t>
  </si>
  <si>
    <t xml:space="preserve">Niveau</t>
  </si>
  <si>
    <t xml:space="preserve">Compromission d'identité privilégiée</t>
  </si>
  <si>
    <t xml:space="preserve">Exploitation de vulnérabilités produit critiques</t>
  </si>
  <si>
    <t xml:space="preserve">Compromission de la chaîne d'approvisionnement logicielle du produit GitLab</t>
  </si>
  <si>
    <t xml:space="preserve">Défaillance ou compromission de tiers et de fournisseurs cloud</t>
  </si>
  <si>
    <t xml:space="preserve">Interruption majeure de service ou perte de données</t>
  </si>
  <si>
    <t xml:space="preserve">Détournement des fonctions d'IA et des agents</t>
  </si>
  <si>
    <t xml:space="preserve">Compromission du plan de contrôle Dedicated ou de l'isolation des tenants</t>
  </si>
  <si>
    <t xml:space="preserve">Abus d'accès privilégié ou de support par un interne</t>
  </si>
  <si>
    <t xml:space="preserve">Abus des runners CI partagés et évasion entre tenants</t>
  </si>
  <si>
    <t xml:space="preserve">Écart d'adoption des correctifs exposant les clients auto-hébergés et la réputation de GitLab</t>
  </si>
  <si>
    <t xml:space="preserve">Défaut de continuité de la gouvernance de la sécurité</t>
  </si>
  <si>
    <t xml:space="preserve">Expiration ou érosion des certifications et de l'éligibilité aux marchés régulés</t>
  </si>
  <si>
    <t xml:space="preserve">Sur-divulgation due à la transparence radicale</t>
  </si>
  <si>
    <t xml:space="preserve">Synthèse par phase et effort</t>
  </si>
  <si>
    <t xml:space="preserve">Actions</t>
  </si>
  <si>
    <t xml:space="preserve">P1</t>
  </si>
  <si>
    <t xml:space="preserve">P2</t>
  </si>
  <si>
    <t xml:space="preserve">P3</t>
  </si>
  <si>
    <t xml:space="preserve">Effort moyen</t>
  </si>
  <si>
    <t xml:space="preserve">Urgence moyenne</t>
  </si>
  <si>
    <t xml:space="preserve">0-3 mois</t>
  </si>
  <si>
    <t xml:space="preserve">3-6 mois</t>
  </si>
  <si>
    <t xml:space="preserve">6-12 mois</t>
  </si>
  <si>
    <t xml:space="preserve">12-24 mois</t>
  </si>
  <si>
    <t xml:space="preserve">Total</t>
  </si>
  <si>
    <t xml:space="preserve">Traçabilité : risque -&gt; exigences PSSI -&gt; actions de la feuille de route</t>
  </si>
  <si>
    <t xml:space="preserve">Intitulé du risque</t>
  </si>
  <si>
    <t xml:space="preserve">Cible résiduelle</t>
  </si>
  <si>
    <t xml:space="preserve">Actions de la feuille de route</t>
  </si>
  <si>
    <t xml:space="preserve">IAM-01, IAM-02, IAM-04, MON-01</t>
  </si>
  <si>
    <t xml:space="preserve">A-01, A-04, A-05, A-09, A-10, A-11, A-12, A-16, A-21</t>
  </si>
  <si>
    <t xml:space="preserve">SSC-03, SSC-04, RES-03</t>
  </si>
  <si>
    <t xml:space="preserve">A-02, A-03, A-06, A-08, A-16, A-17, A-22</t>
  </si>
  <si>
    <t xml:space="preserve">SSC-01, SSC-02, IAM-01</t>
  </si>
  <si>
    <t xml:space="preserve">A-09, A-19</t>
  </si>
  <si>
    <t xml:space="preserve">TPM-01, TPM-02</t>
  </si>
  <si>
    <t xml:space="preserve">A-13, A-14, A-23</t>
  </si>
  <si>
    <t xml:space="preserve">RES-01, RES-02, RES-03</t>
  </si>
  <si>
    <t xml:space="preserve">A-13, A-18, A-23</t>
  </si>
  <si>
    <t xml:space="preserve">A-03, A-14, A-22</t>
  </si>
  <si>
    <t xml:space="preserve">CLD-02, IAM-01</t>
  </si>
  <si>
    <t xml:space="preserve">A-05, A-11, A-24</t>
  </si>
  <si>
    <t xml:space="preserve">A-04, A-12, A-21</t>
  </si>
  <si>
    <t xml:space="preserve">SSC-03, SSC-05, CMP-02</t>
  </si>
  <si>
    <t xml:space="preserve">A-02, A-08, A-17</t>
  </si>
  <si>
    <t xml:space="preserve">GOV-01, GOV-02, GOV-04</t>
  </si>
  <si>
    <t xml:space="preserve">A-01, A-06, A-25, A-26</t>
  </si>
  <si>
    <t xml:space="preserve">A-07, A-24, A-25</t>
  </si>
  <si>
    <t xml:space="preserve">A-10, A-15</t>
  </si>
  <si>
    <t xml:space="preserve">Frise visuelle (image statique ; voir l'onglet Feuille_de_route pour le Gantt actif)</t>
  </si>
</sst>
</file>

<file path=xl/styles.xml><?xml version="1.0" encoding="utf-8"?>
<styleSheet xmlns="http://schemas.openxmlformats.org/spreadsheetml/2006/main">
  <numFmts count="2">
    <numFmt numFmtId="164" formatCode="General"/>
    <numFmt numFmtId="165"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000000"/>
      <name val="Arial"/>
      <family val="0"/>
      <charset val="1"/>
    </font>
    <font>
      <i val="true"/>
      <sz val="9"/>
      <color rgb="FF000000"/>
      <name val="Arial"/>
      <family val="0"/>
      <charset val="1"/>
    </font>
    <font>
      <b val="true"/>
      <sz val="8"/>
      <name val="Arial"/>
      <family val="0"/>
      <charset val="1"/>
    </font>
    <font>
      <b val="true"/>
      <sz val="10"/>
      <color rgb="FF000000"/>
      <name val="Arial"/>
      <family val="0"/>
      <charset val="1"/>
    </font>
    <font>
      <sz val="9"/>
      <name val="Arial"/>
      <family val="0"/>
      <charset val="1"/>
    </font>
    <font>
      <b val="true"/>
      <sz val="9"/>
      <color rgb="FF000000"/>
      <name val="Arial"/>
      <family val="0"/>
      <charset val="1"/>
    </font>
    <font>
      <sz val="9"/>
      <color rgb="FF000000"/>
      <name val="Arial"/>
      <family val="0"/>
      <charset val="1"/>
    </font>
    <font>
      <b val="true"/>
      <sz val="9"/>
      <name val="Arial"/>
      <family val="0"/>
      <charset val="1"/>
    </font>
    <font>
      <sz val="7"/>
      <color rgb="FFFFFFFF"/>
      <name val="Arial"/>
      <family val="0"/>
      <charset val="1"/>
    </font>
  </fonts>
  <fills count="4">
    <fill>
      <patternFill patternType="none"/>
    </fill>
    <fill>
      <patternFill patternType="gray125"/>
    </fill>
    <fill>
      <patternFill patternType="solid">
        <fgColor rgb="FFD9D9D9"/>
        <bgColor rgb="FFD0D0D0"/>
      </patternFill>
    </fill>
    <fill>
      <patternFill patternType="solid">
        <fgColor rgb="FFF2F2F2"/>
        <bgColor rgb="FFEEEEEE"/>
      </patternFill>
    </fill>
  </fills>
  <borders count="2">
    <border diagonalUp="false" diagonalDown="false">
      <left/>
      <right/>
      <top/>
      <bottom/>
      <diagonal/>
    </border>
    <border diagonalUp="false" diagonalDown="false">
      <left style="thin">
        <color rgb="FFC9D1DC"/>
      </left>
      <right style="thin">
        <color rgb="FFC9D1DC"/>
      </right>
      <top style="thin">
        <color rgb="FFC9D1DC"/>
      </top>
      <bottom style="thin">
        <color rgb="FFC9D1D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9" fillId="3" borderId="1" xfId="0" applyFont="true" applyBorder="true" applyAlignment="true" applyProtection="false">
      <alignment horizontal="center" vertical="top" textRotation="0" wrapText="true" indent="0" shrinkToFit="false"/>
      <protection locked="true" hidden="false"/>
    </xf>
    <xf numFmtId="165" fontId="10" fillId="0" borderId="1" xfId="0" applyFont="true" applyBorder="true" applyAlignment="true" applyProtection="false">
      <alignment horizontal="center" vertical="top" textRotation="0" wrapText="true" indent="0" shrinkToFit="false"/>
      <protection locked="true" hidden="false"/>
    </xf>
    <xf numFmtId="165" fontId="11" fillId="0" borderId="1" xfId="0" applyFont="true" applyBorder="true" applyAlignment="true" applyProtection="false">
      <alignment horizontal="center" vertical="top" textRotation="0" wrapText="true" indent="0" shrinkToFit="false"/>
      <protection locked="true" hidden="false"/>
    </xf>
    <xf numFmtId="164" fontId="11" fillId="0" borderId="1" xfId="0" applyFont="true" applyBorder="true" applyAlignment="true" applyProtection="false">
      <alignment horizontal="center" vertical="top" textRotation="0" wrapText="true" indent="0" shrinkToFit="false"/>
      <protection locked="true" hidden="false"/>
    </xf>
    <xf numFmtId="165" fontId="12" fillId="0"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ont>
        <color rgb="FF000000"/>
      </font>
      <fill>
        <patternFill>
          <bgColor rgb="FF262626"/>
        </patternFill>
      </fill>
    </dxf>
    <dxf>
      <font>
        <color rgb="FF808080"/>
      </font>
      <fill>
        <patternFill>
          <bgColor rgb="FF808080"/>
        </patternFill>
      </fill>
    </dxf>
    <dxf>
      <font>
        <color rgb="FFC8C8C8"/>
      </font>
      <fill>
        <patternFill>
          <bgColor rgb="FFC8C8C8"/>
        </patternFill>
      </fill>
    </dxf>
    <dxf>
      <fill>
        <patternFill>
          <bgColor rgb="FFA6A6A6"/>
        </patternFill>
      </fill>
    </dxf>
    <dxf>
      <fill>
        <patternFill>
          <bgColor rgb="FFD0D0D0"/>
        </patternFill>
      </fill>
    </dxf>
    <dxf>
      <fill>
        <patternFill>
          <bgColor rgb="FFEEEEEE"/>
        </patternFill>
      </fill>
    </dxf>
    <dxf>
      <fill>
        <patternFill>
          <bgColor rgb="FFC8C8C8"/>
        </patternFill>
      </fill>
    </dxf>
    <dxf>
      <fill>
        <patternFill>
          <bgColor rgb="FFE3E3E3"/>
        </patternFill>
      </fill>
    </dxf>
    <dxf>
      <fill>
        <patternFill>
          <bgColor rgb="FF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8C8C8"/>
      <rgbColor rgb="FF808080"/>
      <rgbColor rgb="FF9999FF"/>
      <rgbColor rgb="FF993366"/>
      <rgbColor rgb="FFF2F2F2"/>
      <rgbColor rgb="FFEEEEEE"/>
      <rgbColor rgb="FF660066"/>
      <rgbColor rgb="FFFF8080"/>
      <rgbColor rgb="FF0066CC"/>
      <rgbColor rgb="FFC9D1DC"/>
      <rgbColor rgb="FF000080"/>
      <rgbColor rgb="FFFF00FF"/>
      <rgbColor rgb="FFFFFF00"/>
      <rgbColor rgb="FF00FFFF"/>
      <rgbColor rgb="FF800080"/>
      <rgbColor rgb="FF800000"/>
      <rgbColor rgb="FF008080"/>
      <rgbColor rgb="FF0000FF"/>
      <rgbColor rgb="FF00CCFF"/>
      <rgbColor rgb="FFCCFFFF"/>
      <rgbColor rgb="FFE3E3E3"/>
      <rgbColor rgb="FFFFFF99"/>
      <rgbColor rgb="FFD0D0D0"/>
      <rgbColor rgb="FFFF99CC"/>
      <rgbColor rgb="FFCC99FF"/>
      <rgbColor rgb="FFD9D9D9"/>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160560</xdr:rowOff>
    </xdr:from>
    <xdr:to>
      <xdr:col>16</xdr:col>
      <xdr:colOff>121680</xdr:colOff>
      <xdr:row>37</xdr:row>
      <xdr:rowOff>160200</xdr:rowOff>
    </xdr:to>
    <xdr:pic>
      <xdr:nvPicPr>
        <xdr:cNvPr id="0" name="Image 1" descr="Picture"/>
        <xdr:cNvPicPr/>
      </xdr:nvPicPr>
      <xdr:blipFill>
        <a:blip r:embed="rId1"/>
        <a:stretch/>
      </xdr:blipFill>
      <xdr:spPr>
        <a:xfrm>
          <a:off x="0" y="380880"/>
          <a:ext cx="9905760" cy="685764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44"/>
    <col collapsed="false" customWidth="true" hidden="false" outlineLevel="0" max="3" min="3" style="0" width="60"/>
    <col collapsed="false" customWidth="true" hidden="false" outlineLevel="0" max="4" min="4" style="0" width="18"/>
    <col collapsed="false" customWidth="true" hidden="false" outlineLevel="0" max="6" min="5" style="0" width="9"/>
    <col collapsed="false" customWidth="true" hidden="false" outlineLevel="0" max="7" min="7" style="0" width="30"/>
    <col collapsed="false" customWidth="true" hidden="false" outlineLevel="0" max="8" min="8" style="0" width="9"/>
    <col collapsed="false" customWidth="true" hidden="false" outlineLevel="0" max="9" min="9" style="0" width="10"/>
    <col collapsed="false" customWidth="true" hidden="false" outlineLevel="0" max="10" min="10" style="0" width="9"/>
    <col collapsed="false" customWidth="true" hidden="false" outlineLevel="0" max="11" min="11" style="0" width="8"/>
    <col collapsed="false" customWidth="true" hidden="false" outlineLevel="0" max="14" min="12" style="0" width="9"/>
    <col collapsed="false" customWidth="true" hidden="false" outlineLevel="0" max="15" min="15" style="0" width="8"/>
    <col collapsed="false" customWidth="true" hidden="false" outlineLevel="0" max="16" min="16" style="0" width="14"/>
    <col collapsed="false" customWidth="true" hidden="false" outlineLevel="0" max="17" min="17" style="0" width="12"/>
    <col collapsed="false" customWidth="true" hidden="false" outlineLevel="0" max="18" min="18" style="0" width="44"/>
    <col collapsed="false" customWidth="true" hidden="false" outlineLevel="0" max="42" min="19" style="0" width="3.2"/>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S3" s="3" t="s">
        <v>2</v>
      </c>
    </row>
    <row r="4" customFormat="false" ht="31.5" hidden="false" customHeight="true" outlineLevel="0" collapsed="false">
      <c r="A4" s="4" t="s">
        <v>3</v>
      </c>
      <c r="B4" s="4" t="s">
        <v>4</v>
      </c>
      <c r="C4" s="4" t="s">
        <v>5</v>
      </c>
      <c r="D4" s="4" t="s">
        <v>6</v>
      </c>
      <c r="E4" s="4" t="s">
        <v>7</v>
      </c>
      <c r="F4" s="4" t="s">
        <v>8</v>
      </c>
      <c r="G4" s="4" t="s">
        <v>9</v>
      </c>
      <c r="H4" s="4" t="s">
        <v>10</v>
      </c>
      <c r="I4" s="4" t="s">
        <v>11</v>
      </c>
      <c r="J4" s="4" t="s">
        <v>12</v>
      </c>
      <c r="K4" s="4" t="s">
        <v>13</v>
      </c>
      <c r="L4" s="4" t="s">
        <v>14</v>
      </c>
      <c r="M4" s="4" t="s">
        <v>15</v>
      </c>
      <c r="N4" s="4" t="s">
        <v>16</v>
      </c>
      <c r="O4" s="4" t="s">
        <v>17</v>
      </c>
      <c r="P4" s="4" t="s">
        <v>18</v>
      </c>
      <c r="Q4" s="4" t="s">
        <v>19</v>
      </c>
      <c r="R4" s="4" t="s">
        <v>20</v>
      </c>
      <c r="S4" s="4" t="s">
        <v>21</v>
      </c>
      <c r="T4" s="4" t="s">
        <v>22</v>
      </c>
      <c r="U4" s="4" t="s">
        <v>23</v>
      </c>
      <c r="V4" s="4" t="s">
        <v>24</v>
      </c>
      <c r="W4" s="4" t="s">
        <v>25</v>
      </c>
      <c r="X4" s="4" t="s">
        <v>26</v>
      </c>
      <c r="Y4" s="4" t="s">
        <v>27</v>
      </c>
      <c r="Z4" s="4" t="s">
        <v>28</v>
      </c>
      <c r="AA4" s="4" t="s">
        <v>29</v>
      </c>
      <c r="AB4" s="4" t="s">
        <v>30</v>
      </c>
      <c r="AC4" s="4" t="s">
        <v>31</v>
      </c>
      <c r="AD4" s="4" t="s">
        <v>32</v>
      </c>
      <c r="AE4" s="4" t="s">
        <v>33</v>
      </c>
      <c r="AF4" s="4" t="s">
        <v>34</v>
      </c>
      <c r="AG4" s="4" t="s">
        <v>35</v>
      </c>
      <c r="AH4" s="4" t="s">
        <v>36</v>
      </c>
      <c r="AI4" s="4" t="s">
        <v>37</v>
      </c>
      <c r="AJ4" s="4" t="s">
        <v>38</v>
      </c>
      <c r="AK4" s="4" t="s">
        <v>39</v>
      </c>
      <c r="AL4" s="4" t="s">
        <v>40</v>
      </c>
      <c r="AM4" s="4" t="s">
        <v>41</v>
      </c>
      <c r="AN4" s="4" t="s">
        <v>42</v>
      </c>
      <c r="AO4" s="4" t="s">
        <v>43</v>
      </c>
      <c r="AP4" s="4" t="s">
        <v>44</v>
      </c>
    </row>
    <row r="5" customFormat="false" ht="49.5" hidden="false" customHeight="true" outlineLevel="0" collapsed="false">
      <c r="A5" s="5" t="s">
        <v>45</v>
      </c>
      <c r="B5" s="6" t="s">
        <v>46</v>
      </c>
      <c r="C5" s="6" t="s">
        <v>47</v>
      </c>
      <c r="D5" s="6" t="s">
        <v>48</v>
      </c>
      <c r="E5" s="5" t="s">
        <v>49</v>
      </c>
      <c r="F5" s="5" t="s">
        <v>50</v>
      </c>
      <c r="G5" s="6" t="s">
        <v>51</v>
      </c>
      <c r="H5" s="7" t="n">
        <v>1</v>
      </c>
      <c r="I5" s="7" t="n">
        <v>3</v>
      </c>
      <c r="J5" s="5" t="n">
        <f aca="false">H5+I5-1</f>
        <v>3</v>
      </c>
      <c r="K5" s="7" t="n">
        <v>2</v>
      </c>
      <c r="L5" s="7" t="n">
        <v>5</v>
      </c>
      <c r="M5" s="8" t="n">
        <f aca="false">MAX(INDEX(Ref_Risques!$C$3:$C$15,MATCH(E5,Ref_Risques!$A$3:$A$15,0)),INDEX(Ref_Risques!$C$3:$C$15,MATCH(F5,Ref_Risques!$A$3:$A$15,0)))</f>
        <v>20</v>
      </c>
      <c r="N5" s="9" t="n">
        <f aca="false">2*M5+4*L5+2*(6-K5)</f>
        <v>68</v>
      </c>
      <c r="O5" s="10" t="str">
        <f aca="false">IF(N5&gt;=62,"P1",IF(N5&gt;=48,"P2","P3"))</f>
        <v>P1</v>
      </c>
      <c r="P5" s="5" t="str">
        <f aca="false">IF(H5&lt;=3,"0-3 mois",IF(H5&lt;=6,"3-6 mois",IF(H5&lt;=12,"6-12 mois","12-24 mois")))</f>
        <v>0-3 mois</v>
      </c>
      <c r="Q5" s="5" t="s">
        <v>52</v>
      </c>
      <c r="R5" s="6" t="s">
        <v>53</v>
      </c>
      <c r="S5" s="11" t="n">
        <f aca="false">IF(AND(1&gt;=$H5,1&lt;=$J5),1,"")</f>
        <v>1</v>
      </c>
      <c r="T5" s="11" t="n">
        <f aca="false">IF(AND(2&gt;=$H5,2&lt;=$J5),1,"")</f>
        <v>1</v>
      </c>
      <c r="U5" s="11" t="n">
        <f aca="false">IF(AND(3&gt;=$H5,3&lt;=$J5),1,"")</f>
        <v>1</v>
      </c>
      <c r="V5" s="11" t="str">
        <f aca="false">IF(AND(4&gt;=$H5,4&lt;=$J5),1,"")</f>
        <v/>
      </c>
      <c r="W5" s="11" t="str">
        <f aca="false">IF(AND(5&gt;=$H5,5&lt;=$J5),1,"")</f>
        <v/>
      </c>
      <c r="X5" s="11" t="str">
        <f aca="false">IF(AND(6&gt;=$H5,6&lt;=$J5),1,"")</f>
        <v/>
      </c>
      <c r="Y5" s="11" t="str">
        <f aca="false">IF(AND(7&gt;=$H5,7&lt;=$J5),1,"")</f>
        <v/>
      </c>
      <c r="Z5" s="11" t="str">
        <f aca="false">IF(AND(8&gt;=$H5,8&lt;=$J5),1,"")</f>
        <v/>
      </c>
      <c r="AA5" s="11" t="str">
        <f aca="false">IF(AND(9&gt;=$H5,9&lt;=$J5),1,"")</f>
        <v/>
      </c>
      <c r="AB5" s="11" t="str">
        <f aca="false">IF(AND(10&gt;=$H5,10&lt;=$J5),1,"")</f>
        <v/>
      </c>
      <c r="AC5" s="11" t="str">
        <f aca="false">IF(AND(11&gt;=$H5,11&lt;=$J5),1,"")</f>
        <v/>
      </c>
      <c r="AD5" s="11" t="str">
        <f aca="false">IF(AND(12&gt;=$H5,12&lt;=$J5),1,"")</f>
        <v/>
      </c>
      <c r="AE5" s="11" t="str">
        <f aca="false">IF(AND(13&gt;=$H5,13&lt;=$J5),1,"")</f>
        <v/>
      </c>
      <c r="AF5" s="11" t="str">
        <f aca="false">IF(AND(14&gt;=$H5,14&lt;=$J5),1,"")</f>
        <v/>
      </c>
      <c r="AG5" s="11" t="str">
        <f aca="false">IF(AND(15&gt;=$H5,15&lt;=$J5),1,"")</f>
        <v/>
      </c>
      <c r="AH5" s="11" t="str">
        <f aca="false">IF(AND(16&gt;=$H5,16&lt;=$J5),1,"")</f>
        <v/>
      </c>
      <c r="AI5" s="11" t="str">
        <f aca="false">IF(AND(17&gt;=$H5,17&lt;=$J5),1,"")</f>
        <v/>
      </c>
      <c r="AJ5" s="11" t="str">
        <f aca="false">IF(AND(18&gt;=$H5,18&lt;=$J5),1,"")</f>
        <v/>
      </c>
      <c r="AK5" s="11" t="str">
        <f aca="false">IF(AND(19&gt;=$H5,19&lt;=$J5),1,"")</f>
        <v/>
      </c>
      <c r="AL5" s="11" t="str">
        <f aca="false">IF(AND(20&gt;=$H5,20&lt;=$J5),1,"")</f>
        <v/>
      </c>
      <c r="AM5" s="11" t="str">
        <f aca="false">IF(AND(21&gt;=$H5,21&lt;=$J5),1,"")</f>
        <v/>
      </c>
      <c r="AN5" s="11" t="str">
        <f aca="false">IF(AND(22&gt;=$H5,22&lt;=$J5),1,"")</f>
        <v/>
      </c>
      <c r="AO5" s="11" t="str">
        <f aca="false">IF(AND(23&gt;=$H5,23&lt;=$J5),1,"")</f>
        <v/>
      </c>
      <c r="AP5" s="11" t="str">
        <f aca="false">IF(AND(24&gt;=$H5,24&lt;=$J5),1,"")</f>
        <v/>
      </c>
    </row>
    <row r="6" customFormat="false" ht="49.5" hidden="false" customHeight="true" outlineLevel="0" collapsed="false">
      <c r="A6" s="5" t="s">
        <v>54</v>
      </c>
      <c r="B6" s="6" t="s">
        <v>55</v>
      </c>
      <c r="C6" s="6" t="s">
        <v>56</v>
      </c>
      <c r="D6" s="6" t="s">
        <v>57</v>
      </c>
      <c r="E6" s="5" t="s">
        <v>58</v>
      </c>
      <c r="F6" s="5" t="s">
        <v>59</v>
      </c>
      <c r="G6" s="6" t="s">
        <v>60</v>
      </c>
      <c r="H6" s="7" t="n">
        <v>1</v>
      </c>
      <c r="I6" s="7" t="n">
        <v>3</v>
      </c>
      <c r="J6" s="5" t="n">
        <f aca="false">H6+I6-1</f>
        <v>3</v>
      </c>
      <c r="K6" s="7" t="n">
        <v>2</v>
      </c>
      <c r="L6" s="7" t="n">
        <v>5</v>
      </c>
      <c r="M6" s="8" t="n">
        <f aca="false">MAX(INDEX(Ref_Risques!$C$3:$C$15,MATCH(E6,Ref_Risques!$A$3:$A$15,0)),INDEX(Ref_Risques!$C$3:$C$15,MATCH(F6,Ref_Risques!$A$3:$A$15,0)))</f>
        <v>20</v>
      </c>
      <c r="N6" s="9" t="n">
        <f aca="false">2*M6+4*L6+2*(6-K6)</f>
        <v>68</v>
      </c>
      <c r="O6" s="10" t="str">
        <f aca="false">IF(N6&gt;=62,"P1",IF(N6&gt;=48,"P2","P3"))</f>
        <v>P1</v>
      </c>
      <c r="P6" s="5" t="str">
        <f aca="false">IF(H6&lt;=3,"0-3 mois",IF(H6&lt;=6,"3-6 mois",IF(H6&lt;=12,"6-12 mois","12-24 mois")))</f>
        <v>0-3 mois</v>
      </c>
      <c r="Q6" s="5" t="s">
        <v>52</v>
      </c>
      <c r="R6" s="6" t="s">
        <v>61</v>
      </c>
      <c r="S6" s="11" t="n">
        <f aca="false">IF(AND(1&gt;=$H6,1&lt;=$J6),1,"")</f>
        <v>1</v>
      </c>
      <c r="T6" s="11" t="n">
        <f aca="false">IF(AND(2&gt;=$H6,2&lt;=$J6),1,"")</f>
        <v>1</v>
      </c>
      <c r="U6" s="11" t="n">
        <f aca="false">IF(AND(3&gt;=$H6,3&lt;=$J6),1,"")</f>
        <v>1</v>
      </c>
      <c r="V6" s="11" t="str">
        <f aca="false">IF(AND(4&gt;=$H6,4&lt;=$J6),1,"")</f>
        <v/>
      </c>
      <c r="W6" s="11" t="str">
        <f aca="false">IF(AND(5&gt;=$H6,5&lt;=$J6),1,"")</f>
        <v/>
      </c>
      <c r="X6" s="11" t="str">
        <f aca="false">IF(AND(6&gt;=$H6,6&lt;=$J6),1,"")</f>
        <v/>
      </c>
      <c r="Y6" s="11" t="str">
        <f aca="false">IF(AND(7&gt;=$H6,7&lt;=$J6),1,"")</f>
        <v/>
      </c>
      <c r="Z6" s="11" t="str">
        <f aca="false">IF(AND(8&gt;=$H6,8&lt;=$J6),1,"")</f>
        <v/>
      </c>
      <c r="AA6" s="11" t="str">
        <f aca="false">IF(AND(9&gt;=$H6,9&lt;=$J6),1,"")</f>
        <v/>
      </c>
      <c r="AB6" s="11" t="str">
        <f aca="false">IF(AND(10&gt;=$H6,10&lt;=$J6),1,"")</f>
        <v/>
      </c>
      <c r="AC6" s="11" t="str">
        <f aca="false">IF(AND(11&gt;=$H6,11&lt;=$J6),1,"")</f>
        <v/>
      </c>
      <c r="AD6" s="11" t="str">
        <f aca="false">IF(AND(12&gt;=$H6,12&lt;=$J6),1,"")</f>
        <v/>
      </c>
      <c r="AE6" s="11" t="str">
        <f aca="false">IF(AND(13&gt;=$H6,13&lt;=$J6),1,"")</f>
        <v/>
      </c>
      <c r="AF6" s="11" t="str">
        <f aca="false">IF(AND(14&gt;=$H6,14&lt;=$J6),1,"")</f>
        <v/>
      </c>
      <c r="AG6" s="11" t="str">
        <f aca="false">IF(AND(15&gt;=$H6,15&lt;=$J6),1,"")</f>
        <v/>
      </c>
      <c r="AH6" s="11" t="str">
        <f aca="false">IF(AND(16&gt;=$H6,16&lt;=$J6),1,"")</f>
        <v/>
      </c>
      <c r="AI6" s="11" t="str">
        <f aca="false">IF(AND(17&gt;=$H6,17&lt;=$J6),1,"")</f>
        <v/>
      </c>
      <c r="AJ6" s="11" t="str">
        <f aca="false">IF(AND(18&gt;=$H6,18&lt;=$J6),1,"")</f>
        <v/>
      </c>
      <c r="AK6" s="11" t="str">
        <f aca="false">IF(AND(19&gt;=$H6,19&lt;=$J6),1,"")</f>
        <v/>
      </c>
      <c r="AL6" s="11" t="str">
        <f aca="false">IF(AND(20&gt;=$H6,20&lt;=$J6),1,"")</f>
        <v/>
      </c>
      <c r="AM6" s="11" t="str">
        <f aca="false">IF(AND(21&gt;=$H6,21&lt;=$J6),1,"")</f>
        <v/>
      </c>
      <c r="AN6" s="11" t="str">
        <f aca="false">IF(AND(22&gt;=$H6,22&lt;=$J6),1,"")</f>
        <v/>
      </c>
      <c r="AO6" s="11" t="str">
        <f aca="false">IF(AND(23&gt;=$H6,23&lt;=$J6),1,"")</f>
        <v/>
      </c>
      <c r="AP6" s="11" t="str">
        <f aca="false">IF(AND(24&gt;=$H6,24&lt;=$J6),1,"")</f>
        <v/>
      </c>
    </row>
    <row r="7" customFormat="false" ht="49.5" hidden="false" customHeight="true" outlineLevel="0" collapsed="false">
      <c r="A7" s="5" t="s">
        <v>62</v>
      </c>
      <c r="B7" s="6" t="s">
        <v>63</v>
      </c>
      <c r="C7" s="6" t="s">
        <v>64</v>
      </c>
      <c r="D7" s="6" t="s">
        <v>65</v>
      </c>
      <c r="E7" s="5" t="s">
        <v>66</v>
      </c>
      <c r="F7" s="5" t="s">
        <v>59</v>
      </c>
      <c r="G7" s="6" t="s">
        <v>67</v>
      </c>
      <c r="H7" s="7" t="n">
        <v>1</v>
      </c>
      <c r="I7" s="7" t="n">
        <v>4</v>
      </c>
      <c r="J7" s="5" t="n">
        <f aca="false">H7+I7-1</f>
        <v>4</v>
      </c>
      <c r="K7" s="7" t="n">
        <v>3</v>
      </c>
      <c r="L7" s="7" t="n">
        <v>5</v>
      </c>
      <c r="M7" s="8" t="n">
        <f aca="false">MAX(INDEX(Ref_Risques!$C$3:$C$15,MATCH(E7,Ref_Risques!$A$3:$A$15,0)),INDEX(Ref_Risques!$C$3:$C$15,MATCH(F7,Ref_Risques!$A$3:$A$15,0)))</f>
        <v>20</v>
      </c>
      <c r="N7" s="9" t="n">
        <f aca="false">2*M7+4*L7+2*(6-K7)</f>
        <v>66</v>
      </c>
      <c r="O7" s="10" t="str">
        <f aca="false">IF(N7&gt;=62,"P1",IF(N7&gt;=48,"P2","P3"))</f>
        <v>P1</v>
      </c>
      <c r="P7" s="5" t="str">
        <f aca="false">IF(H7&lt;=3,"0-3 mois",IF(H7&lt;=6,"3-6 mois",IF(H7&lt;=12,"6-12 mois","12-24 mois")))</f>
        <v>0-3 mois</v>
      </c>
      <c r="Q7" s="5" t="s">
        <v>52</v>
      </c>
      <c r="R7" s="6" t="s">
        <v>68</v>
      </c>
      <c r="S7" s="11" t="n">
        <f aca="false">IF(AND(1&gt;=$H7,1&lt;=$J7),1,"")</f>
        <v>1</v>
      </c>
      <c r="T7" s="11" t="n">
        <f aca="false">IF(AND(2&gt;=$H7,2&lt;=$J7),1,"")</f>
        <v>1</v>
      </c>
      <c r="U7" s="11" t="n">
        <f aca="false">IF(AND(3&gt;=$H7,3&lt;=$J7),1,"")</f>
        <v>1</v>
      </c>
      <c r="V7" s="11" t="n">
        <f aca="false">IF(AND(4&gt;=$H7,4&lt;=$J7),1,"")</f>
        <v>1</v>
      </c>
      <c r="W7" s="11" t="str">
        <f aca="false">IF(AND(5&gt;=$H7,5&lt;=$J7),1,"")</f>
        <v/>
      </c>
      <c r="X7" s="11" t="str">
        <f aca="false">IF(AND(6&gt;=$H7,6&lt;=$J7),1,"")</f>
        <v/>
      </c>
      <c r="Y7" s="11" t="str">
        <f aca="false">IF(AND(7&gt;=$H7,7&lt;=$J7),1,"")</f>
        <v/>
      </c>
      <c r="Z7" s="11" t="str">
        <f aca="false">IF(AND(8&gt;=$H7,8&lt;=$J7),1,"")</f>
        <v/>
      </c>
      <c r="AA7" s="11" t="str">
        <f aca="false">IF(AND(9&gt;=$H7,9&lt;=$J7),1,"")</f>
        <v/>
      </c>
      <c r="AB7" s="11" t="str">
        <f aca="false">IF(AND(10&gt;=$H7,10&lt;=$J7),1,"")</f>
        <v/>
      </c>
      <c r="AC7" s="11" t="str">
        <f aca="false">IF(AND(11&gt;=$H7,11&lt;=$J7),1,"")</f>
        <v/>
      </c>
      <c r="AD7" s="11" t="str">
        <f aca="false">IF(AND(12&gt;=$H7,12&lt;=$J7),1,"")</f>
        <v/>
      </c>
      <c r="AE7" s="11" t="str">
        <f aca="false">IF(AND(13&gt;=$H7,13&lt;=$J7),1,"")</f>
        <v/>
      </c>
      <c r="AF7" s="11" t="str">
        <f aca="false">IF(AND(14&gt;=$H7,14&lt;=$J7),1,"")</f>
        <v/>
      </c>
      <c r="AG7" s="11" t="str">
        <f aca="false">IF(AND(15&gt;=$H7,15&lt;=$J7),1,"")</f>
        <v/>
      </c>
      <c r="AH7" s="11" t="str">
        <f aca="false">IF(AND(16&gt;=$H7,16&lt;=$J7),1,"")</f>
        <v/>
      </c>
      <c r="AI7" s="11" t="str">
        <f aca="false">IF(AND(17&gt;=$H7,17&lt;=$J7),1,"")</f>
        <v/>
      </c>
      <c r="AJ7" s="11" t="str">
        <f aca="false">IF(AND(18&gt;=$H7,18&lt;=$J7),1,"")</f>
        <v/>
      </c>
      <c r="AK7" s="11" t="str">
        <f aca="false">IF(AND(19&gt;=$H7,19&lt;=$J7),1,"")</f>
        <v/>
      </c>
      <c r="AL7" s="11" t="str">
        <f aca="false">IF(AND(20&gt;=$H7,20&lt;=$J7),1,"")</f>
        <v/>
      </c>
      <c r="AM7" s="11" t="str">
        <f aca="false">IF(AND(21&gt;=$H7,21&lt;=$J7),1,"")</f>
        <v/>
      </c>
      <c r="AN7" s="11" t="str">
        <f aca="false">IF(AND(22&gt;=$H7,22&lt;=$J7),1,"")</f>
        <v/>
      </c>
      <c r="AO7" s="11" t="str">
        <f aca="false">IF(AND(23&gt;=$H7,23&lt;=$J7),1,"")</f>
        <v/>
      </c>
      <c r="AP7" s="11" t="str">
        <f aca="false">IF(AND(24&gt;=$H7,24&lt;=$J7),1,"")</f>
        <v/>
      </c>
    </row>
    <row r="8" customFormat="false" ht="49.5" hidden="false" customHeight="true" outlineLevel="0" collapsed="false">
      <c r="A8" s="5" t="s">
        <v>69</v>
      </c>
      <c r="B8" s="6" t="s">
        <v>70</v>
      </c>
      <c r="C8" s="6" t="s">
        <v>71</v>
      </c>
      <c r="D8" s="6" t="s">
        <v>72</v>
      </c>
      <c r="E8" s="5" t="s">
        <v>50</v>
      </c>
      <c r="F8" s="5" t="s">
        <v>73</v>
      </c>
      <c r="G8" s="6" t="s">
        <v>74</v>
      </c>
      <c r="H8" s="7" t="n">
        <v>1</v>
      </c>
      <c r="I8" s="7" t="n">
        <v>4</v>
      </c>
      <c r="J8" s="5" t="n">
        <f aca="false">H8+I8-1</f>
        <v>4</v>
      </c>
      <c r="K8" s="7" t="n">
        <v>3</v>
      </c>
      <c r="L8" s="7" t="n">
        <v>5</v>
      </c>
      <c r="M8" s="8" t="n">
        <f aca="false">MAX(INDEX(Ref_Risques!$C$3:$C$15,MATCH(E8,Ref_Risques!$A$3:$A$15,0)),INDEX(Ref_Risques!$C$3:$C$15,MATCH(F8,Ref_Risques!$A$3:$A$15,0)))</f>
        <v>20</v>
      </c>
      <c r="N8" s="9" t="n">
        <f aca="false">2*M8+4*L8+2*(6-K8)</f>
        <v>66</v>
      </c>
      <c r="O8" s="10" t="str">
        <f aca="false">IF(N8&gt;=62,"P1",IF(N8&gt;=48,"P2","P3"))</f>
        <v>P1</v>
      </c>
      <c r="P8" s="5" t="str">
        <f aca="false">IF(H8&lt;=3,"0-3 mois",IF(H8&lt;=6,"3-6 mois",IF(H8&lt;=12,"6-12 mois","12-24 mois")))</f>
        <v>0-3 mois</v>
      </c>
      <c r="Q8" s="5" t="s">
        <v>75</v>
      </c>
      <c r="R8" s="6" t="s">
        <v>76</v>
      </c>
      <c r="S8" s="11" t="n">
        <f aca="false">IF(AND(1&gt;=$H8,1&lt;=$J8),1,"")</f>
        <v>1</v>
      </c>
      <c r="T8" s="11" t="n">
        <f aca="false">IF(AND(2&gt;=$H8,2&lt;=$J8),1,"")</f>
        <v>1</v>
      </c>
      <c r="U8" s="11" t="n">
        <f aca="false">IF(AND(3&gt;=$H8,3&lt;=$J8),1,"")</f>
        <v>1</v>
      </c>
      <c r="V8" s="11" t="n">
        <f aca="false">IF(AND(4&gt;=$H8,4&lt;=$J8),1,"")</f>
        <v>1</v>
      </c>
      <c r="W8" s="11" t="str">
        <f aca="false">IF(AND(5&gt;=$H8,5&lt;=$J8),1,"")</f>
        <v/>
      </c>
      <c r="X8" s="11" t="str">
        <f aca="false">IF(AND(6&gt;=$H8,6&lt;=$J8),1,"")</f>
        <v/>
      </c>
      <c r="Y8" s="11" t="str">
        <f aca="false">IF(AND(7&gt;=$H8,7&lt;=$J8),1,"")</f>
        <v/>
      </c>
      <c r="Z8" s="11" t="str">
        <f aca="false">IF(AND(8&gt;=$H8,8&lt;=$J8),1,"")</f>
        <v/>
      </c>
      <c r="AA8" s="11" t="str">
        <f aca="false">IF(AND(9&gt;=$H8,9&lt;=$J8),1,"")</f>
        <v/>
      </c>
      <c r="AB8" s="11" t="str">
        <f aca="false">IF(AND(10&gt;=$H8,10&lt;=$J8),1,"")</f>
        <v/>
      </c>
      <c r="AC8" s="11" t="str">
        <f aca="false">IF(AND(11&gt;=$H8,11&lt;=$J8),1,"")</f>
        <v/>
      </c>
      <c r="AD8" s="11" t="str">
        <f aca="false">IF(AND(12&gt;=$H8,12&lt;=$J8),1,"")</f>
        <v/>
      </c>
      <c r="AE8" s="11" t="str">
        <f aca="false">IF(AND(13&gt;=$H8,13&lt;=$J8),1,"")</f>
        <v/>
      </c>
      <c r="AF8" s="11" t="str">
        <f aca="false">IF(AND(14&gt;=$H8,14&lt;=$J8),1,"")</f>
        <v/>
      </c>
      <c r="AG8" s="11" t="str">
        <f aca="false">IF(AND(15&gt;=$H8,15&lt;=$J8),1,"")</f>
        <v/>
      </c>
      <c r="AH8" s="11" t="str">
        <f aca="false">IF(AND(16&gt;=$H8,16&lt;=$J8),1,"")</f>
        <v/>
      </c>
      <c r="AI8" s="11" t="str">
        <f aca="false">IF(AND(17&gt;=$H8,17&lt;=$J8),1,"")</f>
        <v/>
      </c>
      <c r="AJ8" s="11" t="str">
        <f aca="false">IF(AND(18&gt;=$H8,18&lt;=$J8),1,"")</f>
        <v/>
      </c>
      <c r="AK8" s="11" t="str">
        <f aca="false">IF(AND(19&gt;=$H8,19&lt;=$J8),1,"")</f>
        <v/>
      </c>
      <c r="AL8" s="11" t="str">
        <f aca="false">IF(AND(20&gt;=$H8,20&lt;=$J8),1,"")</f>
        <v/>
      </c>
      <c r="AM8" s="11" t="str">
        <f aca="false">IF(AND(21&gt;=$H8,21&lt;=$J8),1,"")</f>
        <v/>
      </c>
      <c r="AN8" s="11" t="str">
        <f aca="false">IF(AND(22&gt;=$H8,22&lt;=$J8),1,"")</f>
        <v/>
      </c>
      <c r="AO8" s="11" t="str">
        <f aca="false">IF(AND(23&gt;=$H8,23&lt;=$J8),1,"")</f>
        <v/>
      </c>
      <c r="AP8" s="11" t="str">
        <f aca="false">IF(AND(24&gt;=$H8,24&lt;=$J8),1,"")</f>
        <v/>
      </c>
    </row>
    <row r="9" customFormat="false" ht="49.5" hidden="false" customHeight="true" outlineLevel="0" collapsed="false">
      <c r="A9" s="5" t="s">
        <v>75</v>
      </c>
      <c r="B9" s="6" t="s">
        <v>77</v>
      </c>
      <c r="C9" s="6" t="s">
        <v>78</v>
      </c>
      <c r="D9" s="6" t="s">
        <v>79</v>
      </c>
      <c r="E9" s="5" t="s">
        <v>50</v>
      </c>
      <c r="F9" s="5" t="s">
        <v>80</v>
      </c>
      <c r="G9" s="6" t="s">
        <v>81</v>
      </c>
      <c r="H9" s="7" t="n">
        <v>1</v>
      </c>
      <c r="I9" s="7" t="n">
        <v>3</v>
      </c>
      <c r="J9" s="5" t="n">
        <f aca="false">H9+I9-1</f>
        <v>3</v>
      </c>
      <c r="K9" s="7" t="n">
        <v>3</v>
      </c>
      <c r="L9" s="7" t="n">
        <v>5</v>
      </c>
      <c r="M9" s="8" t="n">
        <f aca="false">MAX(INDEX(Ref_Risques!$C$3:$C$15,MATCH(E9,Ref_Risques!$A$3:$A$15,0)),INDEX(Ref_Risques!$C$3:$C$15,MATCH(F9,Ref_Risques!$A$3:$A$15,0)))</f>
        <v>20</v>
      </c>
      <c r="N9" s="9" t="n">
        <f aca="false">2*M9+4*L9+2*(6-K9)</f>
        <v>66</v>
      </c>
      <c r="O9" s="10" t="str">
        <f aca="false">IF(N9&gt;=62,"P1",IF(N9&gt;=48,"P2","P3"))</f>
        <v>P1</v>
      </c>
      <c r="P9" s="5" t="str">
        <f aca="false">IF(H9&lt;=3,"0-3 mois",IF(H9&lt;=6,"3-6 mois",IF(H9&lt;=12,"6-12 mois","12-24 mois")))</f>
        <v>0-3 mois</v>
      </c>
      <c r="Q9" s="5" t="s">
        <v>52</v>
      </c>
      <c r="R9" s="6" t="s">
        <v>82</v>
      </c>
      <c r="S9" s="11" t="n">
        <f aca="false">IF(AND(1&gt;=$H9,1&lt;=$J9),1,"")</f>
        <v>1</v>
      </c>
      <c r="T9" s="11" t="n">
        <f aca="false">IF(AND(2&gt;=$H9,2&lt;=$J9),1,"")</f>
        <v>1</v>
      </c>
      <c r="U9" s="11" t="n">
        <f aca="false">IF(AND(3&gt;=$H9,3&lt;=$J9),1,"")</f>
        <v>1</v>
      </c>
      <c r="V9" s="11" t="str">
        <f aca="false">IF(AND(4&gt;=$H9,4&lt;=$J9),1,"")</f>
        <v/>
      </c>
      <c r="W9" s="11" t="str">
        <f aca="false">IF(AND(5&gt;=$H9,5&lt;=$J9),1,"")</f>
        <v/>
      </c>
      <c r="X9" s="11" t="str">
        <f aca="false">IF(AND(6&gt;=$H9,6&lt;=$J9),1,"")</f>
        <v/>
      </c>
      <c r="Y9" s="11" t="str">
        <f aca="false">IF(AND(7&gt;=$H9,7&lt;=$J9),1,"")</f>
        <v/>
      </c>
      <c r="Z9" s="11" t="str">
        <f aca="false">IF(AND(8&gt;=$H9,8&lt;=$J9),1,"")</f>
        <v/>
      </c>
      <c r="AA9" s="11" t="str">
        <f aca="false">IF(AND(9&gt;=$H9,9&lt;=$J9),1,"")</f>
        <v/>
      </c>
      <c r="AB9" s="11" t="str">
        <f aca="false">IF(AND(10&gt;=$H9,10&lt;=$J9),1,"")</f>
        <v/>
      </c>
      <c r="AC9" s="11" t="str">
        <f aca="false">IF(AND(11&gt;=$H9,11&lt;=$J9),1,"")</f>
        <v/>
      </c>
      <c r="AD9" s="11" t="str">
        <f aca="false">IF(AND(12&gt;=$H9,12&lt;=$J9),1,"")</f>
        <v/>
      </c>
      <c r="AE9" s="11" t="str">
        <f aca="false">IF(AND(13&gt;=$H9,13&lt;=$J9),1,"")</f>
        <v/>
      </c>
      <c r="AF9" s="11" t="str">
        <f aca="false">IF(AND(14&gt;=$H9,14&lt;=$J9),1,"")</f>
        <v/>
      </c>
      <c r="AG9" s="11" t="str">
        <f aca="false">IF(AND(15&gt;=$H9,15&lt;=$J9),1,"")</f>
        <v/>
      </c>
      <c r="AH9" s="11" t="str">
        <f aca="false">IF(AND(16&gt;=$H9,16&lt;=$J9),1,"")</f>
        <v/>
      </c>
      <c r="AI9" s="11" t="str">
        <f aca="false">IF(AND(17&gt;=$H9,17&lt;=$J9),1,"")</f>
        <v/>
      </c>
      <c r="AJ9" s="11" t="str">
        <f aca="false">IF(AND(18&gt;=$H9,18&lt;=$J9),1,"")</f>
        <v/>
      </c>
      <c r="AK9" s="11" t="str">
        <f aca="false">IF(AND(19&gt;=$H9,19&lt;=$J9),1,"")</f>
        <v/>
      </c>
      <c r="AL9" s="11" t="str">
        <f aca="false">IF(AND(20&gt;=$H9,20&lt;=$J9),1,"")</f>
        <v/>
      </c>
      <c r="AM9" s="11" t="str">
        <f aca="false">IF(AND(21&gt;=$H9,21&lt;=$J9),1,"")</f>
        <v/>
      </c>
      <c r="AN9" s="11" t="str">
        <f aca="false">IF(AND(22&gt;=$H9,22&lt;=$J9),1,"")</f>
        <v/>
      </c>
      <c r="AO9" s="11" t="str">
        <f aca="false">IF(AND(23&gt;=$H9,23&lt;=$J9),1,"")</f>
        <v/>
      </c>
      <c r="AP9" s="11" t="str">
        <f aca="false">IF(AND(24&gt;=$H9,24&lt;=$J9),1,"")</f>
        <v/>
      </c>
    </row>
    <row r="10" customFormat="false" ht="49.5" hidden="false" customHeight="true" outlineLevel="0" collapsed="false">
      <c r="A10" s="5" t="s">
        <v>83</v>
      </c>
      <c r="B10" s="6" t="s">
        <v>84</v>
      </c>
      <c r="C10" s="6" t="s">
        <v>85</v>
      </c>
      <c r="D10" s="6" t="s">
        <v>86</v>
      </c>
      <c r="E10" s="5" t="s">
        <v>49</v>
      </c>
      <c r="F10" s="5" t="s">
        <v>59</v>
      </c>
      <c r="G10" s="6" t="s">
        <v>87</v>
      </c>
      <c r="H10" s="7" t="n">
        <v>1</v>
      </c>
      <c r="I10" s="7" t="n">
        <v>3</v>
      </c>
      <c r="J10" s="5" t="n">
        <f aca="false">H10+I10-1</f>
        <v>3</v>
      </c>
      <c r="K10" s="7" t="n">
        <v>2</v>
      </c>
      <c r="L10" s="7" t="n">
        <v>4</v>
      </c>
      <c r="M10" s="8" t="n">
        <f aca="false">MAX(INDEX(Ref_Risques!$C$3:$C$15,MATCH(E10,Ref_Risques!$A$3:$A$15,0)),INDEX(Ref_Risques!$C$3:$C$15,MATCH(F10,Ref_Risques!$A$3:$A$15,0)))</f>
        <v>20</v>
      </c>
      <c r="N10" s="9" t="n">
        <f aca="false">2*M10+4*L10+2*(6-K10)</f>
        <v>64</v>
      </c>
      <c r="O10" s="10" t="str">
        <f aca="false">IF(N10&gt;=62,"P1",IF(N10&gt;=48,"P2","P3"))</f>
        <v>P1</v>
      </c>
      <c r="P10" s="5" t="str">
        <f aca="false">IF(H10&lt;=3,"0-3 mois",IF(H10&lt;=6,"3-6 mois",IF(H10&lt;=12,"6-12 mois","12-24 mois")))</f>
        <v>0-3 mois</v>
      </c>
      <c r="Q10" s="5" t="s">
        <v>52</v>
      </c>
      <c r="R10" s="6" t="s">
        <v>88</v>
      </c>
      <c r="S10" s="11" t="n">
        <f aca="false">IF(AND(1&gt;=$H10,1&lt;=$J10),1,"")</f>
        <v>1</v>
      </c>
      <c r="T10" s="11" t="n">
        <f aca="false">IF(AND(2&gt;=$H10,2&lt;=$J10),1,"")</f>
        <v>1</v>
      </c>
      <c r="U10" s="11" t="n">
        <f aca="false">IF(AND(3&gt;=$H10,3&lt;=$J10),1,"")</f>
        <v>1</v>
      </c>
      <c r="V10" s="11" t="str">
        <f aca="false">IF(AND(4&gt;=$H10,4&lt;=$J10),1,"")</f>
        <v/>
      </c>
      <c r="W10" s="11" t="str">
        <f aca="false">IF(AND(5&gt;=$H10,5&lt;=$J10),1,"")</f>
        <v/>
      </c>
      <c r="X10" s="11" t="str">
        <f aca="false">IF(AND(6&gt;=$H10,6&lt;=$J10),1,"")</f>
        <v/>
      </c>
      <c r="Y10" s="11" t="str">
        <f aca="false">IF(AND(7&gt;=$H10,7&lt;=$J10),1,"")</f>
        <v/>
      </c>
      <c r="Z10" s="11" t="str">
        <f aca="false">IF(AND(8&gt;=$H10,8&lt;=$J10),1,"")</f>
        <v/>
      </c>
      <c r="AA10" s="11" t="str">
        <f aca="false">IF(AND(9&gt;=$H10,9&lt;=$J10),1,"")</f>
        <v/>
      </c>
      <c r="AB10" s="11" t="str">
        <f aca="false">IF(AND(10&gt;=$H10,10&lt;=$J10),1,"")</f>
        <v/>
      </c>
      <c r="AC10" s="11" t="str">
        <f aca="false">IF(AND(11&gt;=$H10,11&lt;=$J10),1,"")</f>
        <v/>
      </c>
      <c r="AD10" s="11" t="str">
        <f aca="false">IF(AND(12&gt;=$H10,12&lt;=$J10),1,"")</f>
        <v/>
      </c>
      <c r="AE10" s="11" t="str">
        <f aca="false">IF(AND(13&gt;=$H10,13&lt;=$J10),1,"")</f>
        <v/>
      </c>
      <c r="AF10" s="11" t="str">
        <f aca="false">IF(AND(14&gt;=$H10,14&lt;=$J10),1,"")</f>
        <v/>
      </c>
      <c r="AG10" s="11" t="str">
        <f aca="false">IF(AND(15&gt;=$H10,15&lt;=$J10),1,"")</f>
        <v/>
      </c>
      <c r="AH10" s="11" t="str">
        <f aca="false">IF(AND(16&gt;=$H10,16&lt;=$J10),1,"")</f>
        <v/>
      </c>
      <c r="AI10" s="11" t="str">
        <f aca="false">IF(AND(17&gt;=$H10,17&lt;=$J10),1,"")</f>
        <v/>
      </c>
      <c r="AJ10" s="11" t="str">
        <f aca="false">IF(AND(18&gt;=$H10,18&lt;=$J10),1,"")</f>
        <v/>
      </c>
      <c r="AK10" s="11" t="str">
        <f aca="false">IF(AND(19&gt;=$H10,19&lt;=$J10),1,"")</f>
        <v/>
      </c>
      <c r="AL10" s="11" t="str">
        <f aca="false">IF(AND(20&gt;=$H10,20&lt;=$J10),1,"")</f>
        <v/>
      </c>
      <c r="AM10" s="11" t="str">
        <f aca="false">IF(AND(21&gt;=$H10,21&lt;=$J10),1,"")</f>
        <v/>
      </c>
      <c r="AN10" s="11" t="str">
        <f aca="false">IF(AND(22&gt;=$H10,22&lt;=$J10),1,"")</f>
        <v/>
      </c>
      <c r="AO10" s="11" t="str">
        <f aca="false">IF(AND(23&gt;=$H10,23&lt;=$J10),1,"")</f>
        <v/>
      </c>
      <c r="AP10" s="11" t="str">
        <f aca="false">IF(AND(24&gt;=$H10,24&lt;=$J10),1,"")</f>
        <v/>
      </c>
    </row>
    <row r="11" customFormat="false" ht="49.5" hidden="false" customHeight="true" outlineLevel="0" collapsed="false">
      <c r="A11" s="5" t="s">
        <v>89</v>
      </c>
      <c r="B11" s="6" t="s">
        <v>90</v>
      </c>
      <c r="C11" s="6" t="s">
        <v>91</v>
      </c>
      <c r="D11" s="6" t="s">
        <v>92</v>
      </c>
      <c r="E11" s="5" t="s">
        <v>93</v>
      </c>
      <c r="F11" s="5" t="s">
        <v>93</v>
      </c>
      <c r="G11" s="6" t="s">
        <v>94</v>
      </c>
      <c r="H11" s="7" t="n">
        <v>1</v>
      </c>
      <c r="I11" s="7" t="n">
        <v>2</v>
      </c>
      <c r="J11" s="5" t="n">
        <f aca="false">H11+I11-1</f>
        <v>2</v>
      </c>
      <c r="K11" s="7" t="n">
        <v>1</v>
      </c>
      <c r="L11" s="7" t="n">
        <v>3</v>
      </c>
      <c r="M11" s="8" t="n">
        <f aca="false">MAX(INDEX(Ref_Risques!$C$3:$C$15,MATCH(E11,Ref_Risques!$A$3:$A$15,0)),INDEX(Ref_Risques!$C$3:$C$15,MATCH(F11,Ref_Risques!$A$3:$A$15,0)))</f>
        <v>6</v>
      </c>
      <c r="N11" s="9" t="n">
        <f aca="false">2*M11+4*L11+2*(6-K11)</f>
        <v>34</v>
      </c>
      <c r="O11" s="10" t="str">
        <f aca="false">IF(N11&gt;=62,"P1",IF(N11&gt;=48,"P2","P3"))</f>
        <v>P3</v>
      </c>
      <c r="P11" s="5" t="str">
        <f aca="false">IF(H11&lt;=3,"0-3 mois",IF(H11&lt;=6,"3-6 mois",IF(H11&lt;=12,"6-12 mois","12-24 mois")))</f>
        <v>0-3 mois</v>
      </c>
      <c r="Q11" s="5" t="s">
        <v>52</v>
      </c>
      <c r="R11" s="6" t="s">
        <v>95</v>
      </c>
      <c r="S11" s="11" t="n">
        <f aca="false">IF(AND(1&gt;=$H11,1&lt;=$J11),1,"")</f>
        <v>1</v>
      </c>
      <c r="T11" s="11" t="n">
        <f aca="false">IF(AND(2&gt;=$H11,2&lt;=$J11),1,"")</f>
        <v>1</v>
      </c>
      <c r="U11" s="11" t="str">
        <f aca="false">IF(AND(3&gt;=$H11,3&lt;=$J11),1,"")</f>
        <v/>
      </c>
      <c r="V11" s="11" t="str">
        <f aca="false">IF(AND(4&gt;=$H11,4&lt;=$J11),1,"")</f>
        <v/>
      </c>
      <c r="W11" s="11" t="str">
        <f aca="false">IF(AND(5&gt;=$H11,5&lt;=$J11),1,"")</f>
        <v/>
      </c>
      <c r="X11" s="11" t="str">
        <f aca="false">IF(AND(6&gt;=$H11,6&lt;=$J11),1,"")</f>
        <v/>
      </c>
      <c r="Y11" s="11" t="str">
        <f aca="false">IF(AND(7&gt;=$H11,7&lt;=$J11),1,"")</f>
        <v/>
      </c>
      <c r="Z11" s="11" t="str">
        <f aca="false">IF(AND(8&gt;=$H11,8&lt;=$J11),1,"")</f>
        <v/>
      </c>
      <c r="AA11" s="11" t="str">
        <f aca="false">IF(AND(9&gt;=$H11,9&lt;=$J11),1,"")</f>
        <v/>
      </c>
      <c r="AB11" s="11" t="str">
        <f aca="false">IF(AND(10&gt;=$H11,10&lt;=$J11),1,"")</f>
        <v/>
      </c>
      <c r="AC11" s="11" t="str">
        <f aca="false">IF(AND(11&gt;=$H11,11&lt;=$J11),1,"")</f>
        <v/>
      </c>
      <c r="AD11" s="11" t="str">
        <f aca="false">IF(AND(12&gt;=$H11,12&lt;=$J11),1,"")</f>
        <v/>
      </c>
      <c r="AE11" s="11" t="str">
        <f aca="false">IF(AND(13&gt;=$H11,13&lt;=$J11),1,"")</f>
        <v/>
      </c>
      <c r="AF11" s="11" t="str">
        <f aca="false">IF(AND(14&gt;=$H11,14&lt;=$J11),1,"")</f>
        <v/>
      </c>
      <c r="AG11" s="11" t="str">
        <f aca="false">IF(AND(15&gt;=$H11,15&lt;=$J11),1,"")</f>
        <v/>
      </c>
      <c r="AH11" s="11" t="str">
        <f aca="false">IF(AND(16&gt;=$H11,16&lt;=$J11),1,"")</f>
        <v/>
      </c>
      <c r="AI11" s="11" t="str">
        <f aca="false">IF(AND(17&gt;=$H11,17&lt;=$J11),1,"")</f>
        <v/>
      </c>
      <c r="AJ11" s="11" t="str">
        <f aca="false">IF(AND(18&gt;=$H11,18&lt;=$J11),1,"")</f>
        <v/>
      </c>
      <c r="AK11" s="11" t="str">
        <f aca="false">IF(AND(19&gt;=$H11,19&lt;=$J11),1,"")</f>
        <v/>
      </c>
      <c r="AL11" s="11" t="str">
        <f aca="false">IF(AND(20&gt;=$H11,20&lt;=$J11),1,"")</f>
        <v/>
      </c>
      <c r="AM11" s="11" t="str">
        <f aca="false">IF(AND(21&gt;=$H11,21&lt;=$J11),1,"")</f>
        <v/>
      </c>
      <c r="AN11" s="11" t="str">
        <f aca="false">IF(AND(22&gt;=$H11,22&lt;=$J11),1,"")</f>
        <v/>
      </c>
      <c r="AO11" s="11" t="str">
        <f aca="false">IF(AND(23&gt;=$H11,23&lt;=$J11),1,"")</f>
        <v/>
      </c>
      <c r="AP11" s="11" t="str">
        <f aca="false">IF(AND(24&gt;=$H11,24&lt;=$J11),1,"")</f>
        <v/>
      </c>
    </row>
    <row r="12" customFormat="false" ht="49.5" hidden="false" customHeight="true" outlineLevel="0" collapsed="false">
      <c r="A12" s="5" t="s">
        <v>96</v>
      </c>
      <c r="B12" s="6" t="s">
        <v>97</v>
      </c>
      <c r="C12" s="6" t="s">
        <v>98</v>
      </c>
      <c r="D12" s="6" t="s">
        <v>99</v>
      </c>
      <c r="E12" s="5" t="s">
        <v>59</v>
      </c>
      <c r="F12" s="5" t="s">
        <v>58</v>
      </c>
      <c r="G12" s="6" t="s">
        <v>100</v>
      </c>
      <c r="H12" s="7" t="n">
        <v>2</v>
      </c>
      <c r="I12" s="7" t="n">
        <v>2</v>
      </c>
      <c r="J12" s="5" t="n">
        <f aca="false">H12+I12-1</f>
        <v>3</v>
      </c>
      <c r="K12" s="7" t="n">
        <v>2</v>
      </c>
      <c r="L12" s="7" t="n">
        <v>4</v>
      </c>
      <c r="M12" s="8" t="n">
        <f aca="false">MAX(INDEX(Ref_Risques!$C$3:$C$15,MATCH(E12,Ref_Risques!$A$3:$A$15,0)),INDEX(Ref_Risques!$C$3:$C$15,MATCH(F12,Ref_Risques!$A$3:$A$15,0)))</f>
        <v>20</v>
      </c>
      <c r="N12" s="9" t="n">
        <f aca="false">2*M12+4*L12+2*(6-K12)</f>
        <v>64</v>
      </c>
      <c r="O12" s="10" t="str">
        <f aca="false">IF(N12&gt;=62,"P1",IF(N12&gt;=48,"P2","P3"))</f>
        <v>P1</v>
      </c>
      <c r="P12" s="5" t="str">
        <f aca="false">IF(H12&lt;=3,"0-3 mois",IF(H12&lt;=6,"3-6 mois",IF(H12&lt;=12,"6-12 mois","12-24 mois")))</f>
        <v>0-3 mois</v>
      </c>
      <c r="Q12" s="5" t="s">
        <v>54</v>
      </c>
      <c r="R12" s="6" t="s">
        <v>101</v>
      </c>
      <c r="S12" s="11" t="str">
        <f aca="false">IF(AND(1&gt;=$H12,1&lt;=$J12),1,"")</f>
        <v/>
      </c>
      <c r="T12" s="11" t="n">
        <f aca="false">IF(AND(2&gt;=$H12,2&lt;=$J12),1,"")</f>
        <v>1</v>
      </c>
      <c r="U12" s="11" t="n">
        <f aca="false">IF(AND(3&gt;=$H12,3&lt;=$J12),1,"")</f>
        <v>1</v>
      </c>
      <c r="V12" s="11" t="str">
        <f aca="false">IF(AND(4&gt;=$H12,4&lt;=$J12),1,"")</f>
        <v/>
      </c>
      <c r="W12" s="11" t="str">
        <f aca="false">IF(AND(5&gt;=$H12,5&lt;=$J12),1,"")</f>
        <v/>
      </c>
      <c r="X12" s="11" t="str">
        <f aca="false">IF(AND(6&gt;=$H12,6&lt;=$J12),1,"")</f>
        <v/>
      </c>
      <c r="Y12" s="11" t="str">
        <f aca="false">IF(AND(7&gt;=$H12,7&lt;=$J12),1,"")</f>
        <v/>
      </c>
      <c r="Z12" s="11" t="str">
        <f aca="false">IF(AND(8&gt;=$H12,8&lt;=$J12),1,"")</f>
        <v/>
      </c>
      <c r="AA12" s="11" t="str">
        <f aca="false">IF(AND(9&gt;=$H12,9&lt;=$J12),1,"")</f>
        <v/>
      </c>
      <c r="AB12" s="11" t="str">
        <f aca="false">IF(AND(10&gt;=$H12,10&lt;=$J12),1,"")</f>
        <v/>
      </c>
      <c r="AC12" s="11" t="str">
        <f aca="false">IF(AND(11&gt;=$H12,11&lt;=$J12),1,"")</f>
        <v/>
      </c>
      <c r="AD12" s="11" t="str">
        <f aca="false">IF(AND(12&gt;=$H12,12&lt;=$J12),1,"")</f>
        <v/>
      </c>
      <c r="AE12" s="11" t="str">
        <f aca="false">IF(AND(13&gt;=$H12,13&lt;=$J12),1,"")</f>
        <v/>
      </c>
      <c r="AF12" s="11" t="str">
        <f aca="false">IF(AND(14&gt;=$H12,14&lt;=$J12),1,"")</f>
        <v/>
      </c>
      <c r="AG12" s="11" t="str">
        <f aca="false">IF(AND(15&gt;=$H12,15&lt;=$J12),1,"")</f>
        <v/>
      </c>
      <c r="AH12" s="11" t="str">
        <f aca="false">IF(AND(16&gt;=$H12,16&lt;=$J12),1,"")</f>
        <v/>
      </c>
      <c r="AI12" s="11" t="str">
        <f aca="false">IF(AND(17&gt;=$H12,17&lt;=$J12),1,"")</f>
        <v/>
      </c>
      <c r="AJ12" s="11" t="str">
        <f aca="false">IF(AND(18&gt;=$H12,18&lt;=$J12),1,"")</f>
        <v/>
      </c>
      <c r="AK12" s="11" t="str">
        <f aca="false">IF(AND(19&gt;=$H12,19&lt;=$J12),1,"")</f>
        <v/>
      </c>
      <c r="AL12" s="11" t="str">
        <f aca="false">IF(AND(20&gt;=$H12,20&lt;=$J12),1,"")</f>
        <v/>
      </c>
      <c r="AM12" s="11" t="str">
        <f aca="false">IF(AND(21&gt;=$H12,21&lt;=$J12),1,"")</f>
        <v/>
      </c>
      <c r="AN12" s="11" t="str">
        <f aca="false">IF(AND(22&gt;=$H12,22&lt;=$J12),1,"")</f>
        <v/>
      </c>
      <c r="AO12" s="11" t="str">
        <f aca="false">IF(AND(23&gt;=$H12,23&lt;=$J12),1,"")</f>
        <v/>
      </c>
      <c r="AP12" s="11" t="str">
        <f aca="false">IF(AND(24&gt;=$H12,24&lt;=$J12),1,"")</f>
        <v/>
      </c>
    </row>
    <row r="13" customFormat="false" ht="49.5" hidden="false" customHeight="true" outlineLevel="0" collapsed="false">
      <c r="A13" s="5" t="s">
        <v>102</v>
      </c>
      <c r="B13" s="6" t="s">
        <v>103</v>
      </c>
      <c r="C13" s="6" t="s">
        <v>104</v>
      </c>
      <c r="D13" s="6" t="s">
        <v>105</v>
      </c>
      <c r="E13" s="5" t="s">
        <v>106</v>
      </c>
      <c r="F13" s="5" t="s">
        <v>50</v>
      </c>
      <c r="G13" s="6" t="s">
        <v>107</v>
      </c>
      <c r="H13" s="7" t="n">
        <v>4</v>
      </c>
      <c r="I13" s="7" t="n">
        <v>6</v>
      </c>
      <c r="J13" s="5" t="n">
        <f aca="false">H13+I13-1</f>
        <v>9</v>
      </c>
      <c r="K13" s="7" t="n">
        <v>4</v>
      </c>
      <c r="L13" s="7" t="n">
        <v>5</v>
      </c>
      <c r="M13" s="8" t="n">
        <f aca="false">MAX(INDEX(Ref_Risques!$C$3:$C$15,MATCH(E13,Ref_Risques!$A$3:$A$15,0)),INDEX(Ref_Risques!$C$3:$C$15,MATCH(F13,Ref_Risques!$A$3:$A$15,0)))</f>
        <v>20</v>
      </c>
      <c r="N13" s="9" t="n">
        <f aca="false">2*M13+4*L13+2*(6-K13)</f>
        <v>64</v>
      </c>
      <c r="O13" s="10" t="str">
        <f aca="false">IF(N13&gt;=62,"P1",IF(N13&gt;=48,"P2","P3"))</f>
        <v>P1</v>
      </c>
      <c r="P13" s="5" t="str">
        <f aca="false">IF(H13&lt;=3,"0-3 mois",IF(H13&lt;=6,"3-6 mois",IF(H13&lt;=12,"6-12 mois","12-24 mois")))</f>
        <v>3-6 mois</v>
      </c>
      <c r="Q13" s="5" t="s">
        <v>75</v>
      </c>
      <c r="R13" s="6" t="s">
        <v>108</v>
      </c>
      <c r="S13" s="11" t="str">
        <f aca="false">IF(AND(1&gt;=$H13,1&lt;=$J13),1,"")</f>
        <v/>
      </c>
      <c r="T13" s="11" t="str">
        <f aca="false">IF(AND(2&gt;=$H13,2&lt;=$J13),1,"")</f>
        <v/>
      </c>
      <c r="U13" s="11" t="str">
        <f aca="false">IF(AND(3&gt;=$H13,3&lt;=$J13),1,"")</f>
        <v/>
      </c>
      <c r="V13" s="11" t="n">
        <f aca="false">IF(AND(4&gt;=$H13,4&lt;=$J13),1,"")</f>
        <v>1</v>
      </c>
      <c r="W13" s="11" t="n">
        <f aca="false">IF(AND(5&gt;=$H13,5&lt;=$J13),1,"")</f>
        <v>1</v>
      </c>
      <c r="X13" s="11" t="n">
        <f aca="false">IF(AND(6&gt;=$H13,6&lt;=$J13),1,"")</f>
        <v>1</v>
      </c>
      <c r="Y13" s="11" t="n">
        <f aca="false">IF(AND(7&gt;=$H13,7&lt;=$J13),1,"")</f>
        <v>1</v>
      </c>
      <c r="Z13" s="11" t="n">
        <f aca="false">IF(AND(8&gt;=$H13,8&lt;=$J13),1,"")</f>
        <v>1</v>
      </c>
      <c r="AA13" s="11" t="n">
        <f aca="false">IF(AND(9&gt;=$H13,9&lt;=$J13),1,"")</f>
        <v>1</v>
      </c>
      <c r="AB13" s="11" t="str">
        <f aca="false">IF(AND(10&gt;=$H13,10&lt;=$J13),1,"")</f>
        <v/>
      </c>
      <c r="AC13" s="11" t="str">
        <f aca="false">IF(AND(11&gt;=$H13,11&lt;=$J13),1,"")</f>
        <v/>
      </c>
      <c r="AD13" s="11" t="str">
        <f aca="false">IF(AND(12&gt;=$H13,12&lt;=$J13),1,"")</f>
        <v/>
      </c>
      <c r="AE13" s="11" t="str">
        <f aca="false">IF(AND(13&gt;=$H13,13&lt;=$J13),1,"")</f>
        <v/>
      </c>
      <c r="AF13" s="11" t="str">
        <f aca="false">IF(AND(14&gt;=$H13,14&lt;=$J13),1,"")</f>
        <v/>
      </c>
      <c r="AG13" s="11" t="str">
        <f aca="false">IF(AND(15&gt;=$H13,15&lt;=$J13),1,"")</f>
        <v/>
      </c>
      <c r="AH13" s="11" t="str">
        <f aca="false">IF(AND(16&gt;=$H13,16&lt;=$J13),1,"")</f>
        <v/>
      </c>
      <c r="AI13" s="11" t="str">
        <f aca="false">IF(AND(17&gt;=$H13,17&lt;=$J13),1,"")</f>
        <v/>
      </c>
      <c r="AJ13" s="11" t="str">
        <f aca="false">IF(AND(18&gt;=$H13,18&lt;=$J13),1,"")</f>
        <v/>
      </c>
      <c r="AK13" s="11" t="str">
        <f aca="false">IF(AND(19&gt;=$H13,19&lt;=$J13),1,"")</f>
        <v/>
      </c>
      <c r="AL13" s="11" t="str">
        <f aca="false">IF(AND(20&gt;=$H13,20&lt;=$J13),1,"")</f>
        <v/>
      </c>
      <c r="AM13" s="11" t="str">
        <f aca="false">IF(AND(21&gt;=$H13,21&lt;=$J13),1,"")</f>
        <v/>
      </c>
      <c r="AN13" s="11" t="str">
        <f aca="false">IF(AND(22&gt;=$H13,22&lt;=$J13),1,"")</f>
        <v/>
      </c>
      <c r="AO13" s="11" t="str">
        <f aca="false">IF(AND(23&gt;=$H13,23&lt;=$J13),1,"")</f>
        <v/>
      </c>
      <c r="AP13" s="11" t="str">
        <f aca="false">IF(AND(24&gt;=$H13,24&lt;=$J13),1,"")</f>
        <v/>
      </c>
    </row>
    <row r="14" customFormat="false" ht="49.5" hidden="false" customHeight="true" outlineLevel="0" collapsed="false">
      <c r="A14" s="5" t="s">
        <v>109</v>
      </c>
      <c r="B14" s="6" t="s">
        <v>110</v>
      </c>
      <c r="C14" s="6" t="s">
        <v>111</v>
      </c>
      <c r="D14" s="6" t="s">
        <v>112</v>
      </c>
      <c r="E14" s="5" t="s">
        <v>50</v>
      </c>
      <c r="F14" s="5" t="s">
        <v>113</v>
      </c>
      <c r="G14" s="6" t="s">
        <v>114</v>
      </c>
      <c r="H14" s="7" t="n">
        <v>4</v>
      </c>
      <c r="I14" s="7" t="n">
        <v>6</v>
      </c>
      <c r="J14" s="5" t="n">
        <f aca="false">H14+I14-1</f>
        <v>9</v>
      </c>
      <c r="K14" s="7" t="n">
        <v>3</v>
      </c>
      <c r="L14" s="7" t="n">
        <v>4</v>
      </c>
      <c r="M14" s="8" t="n">
        <f aca="false">MAX(INDEX(Ref_Risques!$C$3:$C$15,MATCH(E14,Ref_Risques!$A$3:$A$15,0)),INDEX(Ref_Risques!$C$3:$C$15,MATCH(F14,Ref_Risques!$A$3:$A$15,0)))</f>
        <v>20</v>
      </c>
      <c r="N14" s="9" t="n">
        <f aca="false">2*M14+4*L14+2*(6-K14)</f>
        <v>62</v>
      </c>
      <c r="O14" s="10" t="str">
        <f aca="false">IF(N14&gt;=62,"P1",IF(N14&gt;=48,"P2","P3"))</f>
        <v>P1</v>
      </c>
      <c r="P14" s="5" t="str">
        <f aca="false">IF(H14&lt;=3,"0-3 mois",IF(H14&lt;=6,"3-6 mois",IF(H14&lt;=12,"6-12 mois","12-24 mois")))</f>
        <v>3-6 mois</v>
      </c>
      <c r="Q14" s="5" t="s">
        <v>75</v>
      </c>
      <c r="R14" s="6" t="s">
        <v>115</v>
      </c>
      <c r="S14" s="11" t="str">
        <f aca="false">IF(AND(1&gt;=$H14,1&lt;=$J14),1,"")</f>
        <v/>
      </c>
      <c r="T14" s="11" t="str">
        <f aca="false">IF(AND(2&gt;=$H14,2&lt;=$J14),1,"")</f>
        <v/>
      </c>
      <c r="U14" s="11" t="str">
        <f aca="false">IF(AND(3&gt;=$H14,3&lt;=$J14),1,"")</f>
        <v/>
      </c>
      <c r="V14" s="11" t="n">
        <f aca="false">IF(AND(4&gt;=$H14,4&lt;=$J14),1,"")</f>
        <v>1</v>
      </c>
      <c r="W14" s="11" t="n">
        <f aca="false">IF(AND(5&gt;=$H14,5&lt;=$J14),1,"")</f>
        <v>1</v>
      </c>
      <c r="X14" s="11" t="n">
        <f aca="false">IF(AND(6&gt;=$H14,6&lt;=$J14),1,"")</f>
        <v>1</v>
      </c>
      <c r="Y14" s="11" t="n">
        <f aca="false">IF(AND(7&gt;=$H14,7&lt;=$J14),1,"")</f>
        <v>1</v>
      </c>
      <c r="Z14" s="11" t="n">
        <f aca="false">IF(AND(8&gt;=$H14,8&lt;=$J14),1,"")</f>
        <v>1</v>
      </c>
      <c r="AA14" s="11" t="n">
        <f aca="false">IF(AND(9&gt;=$H14,9&lt;=$J14),1,"")</f>
        <v>1</v>
      </c>
      <c r="AB14" s="11" t="str">
        <f aca="false">IF(AND(10&gt;=$H14,10&lt;=$J14),1,"")</f>
        <v/>
      </c>
      <c r="AC14" s="11" t="str">
        <f aca="false">IF(AND(11&gt;=$H14,11&lt;=$J14),1,"")</f>
        <v/>
      </c>
      <c r="AD14" s="11" t="str">
        <f aca="false">IF(AND(12&gt;=$H14,12&lt;=$J14),1,"")</f>
        <v/>
      </c>
      <c r="AE14" s="11" t="str">
        <f aca="false">IF(AND(13&gt;=$H14,13&lt;=$J14),1,"")</f>
        <v/>
      </c>
      <c r="AF14" s="11" t="str">
        <f aca="false">IF(AND(14&gt;=$H14,14&lt;=$J14),1,"")</f>
        <v/>
      </c>
      <c r="AG14" s="11" t="str">
        <f aca="false">IF(AND(15&gt;=$H14,15&lt;=$J14),1,"")</f>
        <v/>
      </c>
      <c r="AH14" s="11" t="str">
        <f aca="false">IF(AND(16&gt;=$H14,16&lt;=$J14),1,"")</f>
        <v/>
      </c>
      <c r="AI14" s="11" t="str">
        <f aca="false">IF(AND(17&gt;=$H14,17&lt;=$J14),1,"")</f>
        <v/>
      </c>
      <c r="AJ14" s="11" t="str">
        <f aca="false">IF(AND(18&gt;=$H14,18&lt;=$J14),1,"")</f>
        <v/>
      </c>
      <c r="AK14" s="11" t="str">
        <f aca="false">IF(AND(19&gt;=$H14,19&lt;=$J14),1,"")</f>
        <v/>
      </c>
      <c r="AL14" s="11" t="str">
        <f aca="false">IF(AND(20&gt;=$H14,20&lt;=$J14),1,"")</f>
        <v/>
      </c>
      <c r="AM14" s="11" t="str">
        <f aca="false">IF(AND(21&gt;=$H14,21&lt;=$J14),1,"")</f>
        <v/>
      </c>
      <c r="AN14" s="11" t="str">
        <f aca="false">IF(AND(22&gt;=$H14,22&lt;=$J14),1,"")</f>
        <v/>
      </c>
      <c r="AO14" s="11" t="str">
        <f aca="false">IF(AND(23&gt;=$H14,23&lt;=$J14),1,"")</f>
        <v/>
      </c>
      <c r="AP14" s="11" t="str">
        <f aca="false">IF(AND(24&gt;=$H14,24&lt;=$J14),1,"")</f>
        <v/>
      </c>
    </row>
    <row r="15" customFormat="false" ht="49.5" hidden="false" customHeight="true" outlineLevel="0" collapsed="false">
      <c r="A15" s="5" t="s">
        <v>116</v>
      </c>
      <c r="B15" s="6" t="s">
        <v>117</v>
      </c>
      <c r="C15" s="6" t="s">
        <v>118</v>
      </c>
      <c r="D15" s="6" t="s">
        <v>119</v>
      </c>
      <c r="E15" s="5" t="s">
        <v>80</v>
      </c>
      <c r="F15" s="5" t="s">
        <v>50</v>
      </c>
      <c r="G15" s="6" t="s">
        <v>120</v>
      </c>
      <c r="H15" s="7" t="n">
        <v>4</v>
      </c>
      <c r="I15" s="7" t="n">
        <v>3</v>
      </c>
      <c r="J15" s="5" t="n">
        <f aca="false">H15+I15-1</f>
        <v>6</v>
      </c>
      <c r="K15" s="7" t="n">
        <v>3</v>
      </c>
      <c r="L15" s="7" t="n">
        <v>3</v>
      </c>
      <c r="M15" s="8" t="n">
        <f aca="false">MAX(INDEX(Ref_Risques!$C$3:$C$15,MATCH(E15,Ref_Risques!$A$3:$A$15,0)),INDEX(Ref_Risques!$C$3:$C$15,MATCH(F15,Ref_Risques!$A$3:$A$15,0)))</f>
        <v>20</v>
      </c>
      <c r="N15" s="9" t="n">
        <f aca="false">2*M15+4*L15+2*(6-K15)</f>
        <v>58</v>
      </c>
      <c r="O15" s="10" t="str">
        <f aca="false">IF(N15&gt;=62,"P1",IF(N15&gt;=48,"P2","P3"))</f>
        <v>P2</v>
      </c>
      <c r="P15" s="5" t="str">
        <f aca="false">IF(H15&lt;=3,"0-3 mois",IF(H15&lt;=6,"3-6 mois",IF(H15&lt;=12,"6-12 mois","12-24 mois")))</f>
        <v>3-6 mois</v>
      </c>
      <c r="Q15" s="5" t="s">
        <v>75</v>
      </c>
      <c r="R15" s="6" t="s">
        <v>121</v>
      </c>
      <c r="S15" s="11" t="str">
        <f aca="false">IF(AND(1&gt;=$H15,1&lt;=$J15),1,"")</f>
        <v/>
      </c>
      <c r="T15" s="11" t="str">
        <f aca="false">IF(AND(2&gt;=$H15,2&lt;=$J15),1,"")</f>
        <v/>
      </c>
      <c r="U15" s="11" t="str">
        <f aca="false">IF(AND(3&gt;=$H15,3&lt;=$J15),1,"")</f>
        <v/>
      </c>
      <c r="V15" s="11" t="n">
        <f aca="false">IF(AND(4&gt;=$H15,4&lt;=$J15),1,"")</f>
        <v>1</v>
      </c>
      <c r="W15" s="11" t="n">
        <f aca="false">IF(AND(5&gt;=$H15,5&lt;=$J15),1,"")</f>
        <v>1</v>
      </c>
      <c r="X15" s="11" t="n">
        <f aca="false">IF(AND(6&gt;=$H15,6&lt;=$J15),1,"")</f>
        <v>1</v>
      </c>
      <c r="Y15" s="11" t="str">
        <f aca="false">IF(AND(7&gt;=$H15,7&lt;=$J15),1,"")</f>
        <v/>
      </c>
      <c r="Z15" s="11" t="str">
        <f aca="false">IF(AND(8&gt;=$H15,8&lt;=$J15),1,"")</f>
        <v/>
      </c>
      <c r="AA15" s="11" t="str">
        <f aca="false">IF(AND(9&gt;=$H15,9&lt;=$J15),1,"")</f>
        <v/>
      </c>
      <c r="AB15" s="11" t="str">
        <f aca="false">IF(AND(10&gt;=$H15,10&lt;=$J15),1,"")</f>
        <v/>
      </c>
      <c r="AC15" s="11" t="str">
        <f aca="false">IF(AND(11&gt;=$H15,11&lt;=$J15),1,"")</f>
        <v/>
      </c>
      <c r="AD15" s="11" t="str">
        <f aca="false">IF(AND(12&gt;=$H15,12&lt;=$J15),1,"")</f>
        <v/>
      </c>
      <c r="AE15" s="11" t="str">
        <f aca="false">IF(AND(13&gt;=$H15,13&lt;=$J15),1,"")</f>
        <v/>
      </c>
      <c r="AF15" s="11" t="str">
        <f aca="false">IF(AND(14&gt;=$H15,14&lt;=$J15),1,"")</f>
        <v/>
      </c>
      <c r="AG15" s="11" t="str">
        <f aca="false">IF(AND(15&gt;=$H15,15&lt;=$J15),1,"")</f>
        <v/>
      </c>
      <c r="AH15" s="11" t="str">
        <f aca="false">IF(AND(16&gt;=$H15,16&lt;=$J15),1,"")</f>
        <v/>
      </c>
      <c r="AI15" s="11" t="str">
        <f aca="false">IF(AND(17&gt;=$H15,17&lt;=$J15),1,"")</f>
        <v/>
      </c>
      <c r="AJ15" s="11" t="str">
        <f aca="false">IF(AND(18&gt;=$H15,18&lt;=$J15),1,"")</f>
        <v/>
      </c>
      <c r="AK15" s="11" t="str">
        <f aca="false">IF(AND(19&gt;=$H15,19&lt;=$J15),1,"")</f>
        <v/>
      </c>
      <c r="AL15" s="11" t="str">
        <f aca="false">IF(AND(20&gt;=$H15,20&lt;=$J15),1,"")</f>
        <v/>
      </c>
      <c r="AM15" s="11" t="str">
        <f aca="false">IF(AND(21&gt;=$H15,21&lt;=$J15),1,"")</f>
        <v/>
      </c>
      <c r="AN15" s="11" t="str">
        <f aca="false">IF(AND(22&gt;=$H15,22&lt;=$J15),1,"")</f>
        <v/>
      </c>
      <c r="AO15" s="11" t="str">
        <f aca="false">IF(AND(23&gt;=$H15,23&lt;=$J15),1,"")</f>
        <v/>
      </c>
      <c r="AP15" s="11" t="str">
        <f aca="false">IF(AND(24&gt;=$H15,24&lt;=$J15),1,"")</f>
        <v/>
      </c>
    </row>
    <row r="16" customFormat="false" ht="49.5" hidden="false" customHeight="true" outlineLevel="0" collapsed="false">
      <c r="A16" s="5" t="s">
        <v>122</v>
      </c>
      <c r="B16" s="6" t="s">
        <v>123</v>
      </c>
      <c r="C16" s="6" t="s">
        <v>124</v>
      </c>
      <c r="D16" s="6" t="s">
        <v>125</v>
      </c>
      <c r="E16" s="5" t="s">
        <v>73</v>
      </c>
      <c r="F16" s="5" t="s">
        <v>50</v>
      </c>
      <c r="G16" s="6" t="s">
        <v>126</v>
      </c>
      <c r="H16" s="7" t="n">
        <v>4</v>
      </c>
      <c r="I16" s="7" t="n">
        <v>3</v>
      </c>
      <c r="J16" s="5" t="n">
        <f aca="false">H16+I16-1</f>
        <v>6</v>
      </c>
      <c r="K16" s="7" t="n">
        <v>3</v>
      </c>
      <c r="L16" s="7" t="n">
        <v>3</v>
      </c>
      <c r="M16" s="8" t="n">
        <f aca="false">MAX(INDEX(Ref_Risques!$C$3:$C$15,MATCH(E16,Ref_Risques!$A$3:$A$15,0)),INDEX(Ref_Risques!$C$3:$C$15,MATCH(F16,Ref_Risques!$A$3:$A$15,0)))</f>
        <v>20</v>
      </c>
      <c r="N16" s="9" t="n">
        <f aca="false">2*M16+4*L16+2*(6-K16)</f>
        <v>58</v>
      </c>
      <c r="O16" s="10" t="str">
        <f aca="false">IF(N16&gt;=62,"P1",IF(N16&gt;=48,"P2","P3"))</f>
        <v>P2</v>
      </c>
      <c r="P16" s="5" t="str">
        <f aca="false">IF(H16&lt;=3,"0-3 mois",IF(H16&lt;=6,"3-6 mois",IF(H16&lt;=12,"6-12 mois","12-24 mois")))</f>
        <v>3-6 mois</v>
      </c>
      <c r="Q16" s="5" t="s">
        <v>75</v>
      </c>
      <c r="R16" s="6" t="s">
        <v>127</v>
      </c>
      <c r="S16" s="11" t="str">
        <f aca="false">IF(AND(1&gt;=$H16,1&lt;=$J16),1,"")</f>
        <v/>
      </c>
      <c r="T16" s="11" t="str">
        <f aca="false">IF(AND(2&gt;=$H16,2&lt;=$J16),1,"")</f>
        <v/>
      </c>
      <c r="U16" s="11" t="str">
        <f aca="false">IF(AND(3&gt;=$H16,3&lt;=$J16),1,"")</f>
        <v/>
      </c>
      <c r="V16" s="11" t="n">
        <f aca="false">IF(AND(4&gt;=$H16,4&lt;=$J16),1,"")</f>
        <v>1</v>
      </c>
      <c r="W16" s="11" t="n">
        <f aca="false">IF(AND(5&gt;=$H16,5&lt;=$J16),1,"")</f>
        <v>1</v>
      </c>
      <c r="X16" s="11" t="n">
        <f aca="false">IF(AND(6&gt;=$H16,6&lt;=$J16),1,"")</f>
        <v>1</v>
      </c>
      <c r="Y16" s="11" t="str">
        <f aca="false">IF(AND(7&gt;=$H16,7&lt;=$J16),1,"")</f>
        <v/>
      </c>
      <c r="Z16" s="11" t="str">
        <f aca="false">IF(AND(8&gt;=$H16,8&lt;=$J16),1,"")</f>
        <v/>
      </c>
      <c r="AA16" s="11" t="str">
        <f aca="false">IF(AND(9&gt;=$H16,9&lt;=$J16),1,"")</f>
        <v/>
      </c>
      <c r="AB16" s="11" t="str">
        <f aca="false">IF(AND(10&gt;=$H16,10&lt;=$J16),1,"")</f>
        <v/>
      </c>
      <c r="AC16" s="11" t="str">
        <f aca="false">IF(AND(11&gt;=$H16,11&lt;=$J16),1,"")</f>
        <v/>
      </c>
      <c r="AD16" s="11" t="str">
        <f aca="false">IF(AND(12&gt;=$H16,12&lt;=$J16),1,"")</f>
        <v/>
      </c>
      <c r="AE16" s="11" t="str">
        <f aca="false">IF(AND(13&gt;=$H16,13&lt;=$J16),1,"")</f>
        <v/>
      </c>
      <c r="AF16" s="11" t="str">
        <f aca="false">IF(AND(14&gt;=$H16,14&lt;=$J16),1,"")</f>
        <v/>
      </c>
      <c r="AG16" s="11" t="str">
        <f aca="false">IF(AND(15&gt;=$H16,15&lt;=$J16),1,"")</f>
        <v/>
      </c>
      <c r="AH16" s="11" t="str">
        <f aca="false">IF(AND(16&gt;=$H16,16&lt;=$J16),1,"")</f>
        <v/>
      </c>
      <c r="AI16" s="11" t="str">
        <f aca="false">IF(AND(17&gt;=$H16,17&lt;=$J16),1,"")</f>
        <v/>
      </c>
      <c r="AJ16" s="11" t="str">
        <f aca="false">IF(AND(18&gt;=$H16,18&lt;=$J16),1,"")</f>
        <v/>
      </c>
      <c r="AK16" s="11" t="str">
        <f aca="false">IF(AND(19&gt;=$H16,19&lt;=$J16),1,"")</f>
        <v/>
      </c>
      <c r="AL16" s="11" t="str">
        <f aca="false">IF(AND(20&gt;=$H16,20&lt;=$J16),1,"")</f>
        <v/>
      </c>
      <c r="AM16" s="11" t="str">
        <f aca="false">IF(AND(21&gt;=$H16,21&lt;=$J16),1,"")</f>
        <v/>
      </c>
      <c r="AN16" s="11" t="str">
        <f aca="false">IF(AND(22&gt;=$H16,22&lt;=$J16),1,"")</f>
        <v/>
      </c>
      <c r="AO16" s="11" t="str">
        <f aca="false">IF(AND(23&gt;=$H16,23&lt;=$J16),1,"")</f>
        <v/>
      </c>
      <c r="AP16" s="11" t="str">
        <f aca="false">IF(AND(24&gt;=$H16,24&lt;=$J16),1,"")</f>
        <v/>
      </c>
    </row>
    <row r="17" customFormat="false" ht="49.5" hidden="false" customHeight="true" outlineLevel="0" collapsed="false">
      <c r="A17" s="5" t="s">
        <v>128</v>
      </c>
      <c r="B17" s="6" t="s">
        <v>129</v>
      </c>
      <c r="C17" s="6" t="s">
        <v>130</v>
      </c>
      <c r="D17" s="6" t="s">
        <v>131</v>
      </c>
      <c r="E17" s="5" t="s">
        <v>132</v>
      </c>
      <c r="F17" s="5" t="s">
        <v>133</v>
      </c>
      <c r="G17" s="6" t="s">
        <v>134</v>
      </c>
      <c r="H17" s="7" t="n">
        <v>4</v>
      </c>
      <c r="I17" s="7" t="n">
        <v>6</v>
      </c>
      <c r="J17" s="5" t="n">
        <f aca="false">H17+I17-1</f>
        <v>9</v>
      </c>
      <c r="K17" s="7" t="n">
        <v>4</v>
      </c>
      <c r="L17" s="7" t="n">
        <v>4</v>
      </c>
      <c r="M17" s="8" t="n">
        <f aca="false">MAX(INDEX(Ref_Risques!$C$3:$C$15,MATCH(E17,Ref_Risques!$A$3:$A$15,0)),INDEX(Ref_Risques!$C$3:$C$15,MATCH(F17,Ref_Risques!$A$3:$A$15,0)))</f>
        <v>15</v>
      </c>
      <c r="N17" s="9" t="n">
        <f aca="false">2*M17+4*L17+2*(6-K17)</f>
        <v>50</v>
      </c>
      <c r="O17" s="10" t="str">
        <f aca="false">IF(N17&gt;=62,"P1",IF(N17&gt;=48,"P2","P3"))</f>
        <v>P2</v>
      </c>
      <c r="P17" s="5" t="str">
        <f aca="false">IF(H17&lt;=3,"0-3 mois",IF(H17&lt;=6,"3-6 mois",IF(H17&lt;=12,"6-12 mois","12-24 mois")))</f>
        <v>3-6 mois</v>
      </c>
      <c r="Q17" s="5" t="s">
        <v>52</v>
      </c>
      <c r="R17" s="6" t="s">
        <v>135</v>
      </c>
      <c r="S17" s="11" t="str">
        <f aca="false">IF(AND(1&gt;=$H17,1&lt;=$J17),1,"")</f>
        <v/>
      </c>
      <c r="T17" s="11" t="str">
        <f aca="false">IF(AND(2&gt;=$H17,2&lt;=$J17),1,"")</f>
        <v/>
      </c>
      <c r="U17" s="11" t="str">
        <f aca="false">IF(AND(3&gt;=$H17,3&lt;=$J17),1,"")</f>
        <v/>
      </c>
      <c r="V17" s="11" t="n">
        <f aca="false">IF(AND(4&gt;=$H17,4&lt;=$J17),1,"")</f>
        <v>1</v>
      </c>
      <c r="W17" s="11" t="n">
        <f aca="false">IF(AND(5&gt;=$H17,5&lt;=$J17),1,"")</f>
        <v>1</v>
      </c>
      <c r="X17" s="11" t="n">
        <f aca="false">IF(AND(6&gt;=$H17,6&lt;=$J17),1,"")</f>
        <v>1</v>
      </c>
      <c r="Y17" s="11" t="n">
        <f aca="false">IF(AND(7&gt;=$H17,7&lt;=$J17),1,"")</f>
        <v>1</v>
      </c>
      <c r="Z17" s="11" t="n">
        <f aca="false">IF(AND(8&gt;=$H17,8&lt;=$J17),1,"")</f>
        <v>1</v>
      </c>
      <c r="AA17" s="11" t="n">
        <f aca="false">IF(AND(9&gt;=$H17,9&lt;=$J17),1,"")</f>
        <v>1</v>
      </c>
      <c r="AB17" s="11" t="str">
        <f aca="false">IF(AND(10&gt;=$H17,10&lt;=$J17),1,"")</f>
        <v/>
      </c>
      <c r="AC17" s="11" t="str">
        <f aca="false">IF(AND(11&gt;=$H17,11&lt;=$J17),1,"")</f>
        <v/>
      </c>
      <c r="AD17" s="11" t="str">
        <f aca="false">IF(AND(12&gt;=$H17,12&lt;=$J17),1,"")</f>
        <v/>
      </c>
      <c r="AE17" s="11" t="str">
        <f aca="false">IF(AND(13&gt;=$H17,13&lt;=$J17),1,"")</f>
        <v/>
      </c>
      <c r="AF17" s="11" t="str">
        <f aca="false">IF(AND(14&gt;=$H17,14&lt;=$J17),1,"")</f>
        <v/>
      </c>
      <c r="AG17" s="11" t="str">
        <f aca="false">IF(AND(15&gt;=$H17,15&lt;=$J17),1,"")</f>
        <v/>
      </c>
      <c r="AH17" s="11" t="str">
        <f aca="false">IF(AND(16&gt;=$H17,16&lt;=$J17),1,"")</f>
        <v/>
      </c>
      <c r="AI17" s="11" t="str">
        <f aca="false">IF(AND(17&gt;=$H17,17&lt;=$J17),1,"")</f>
        <v/>
      </c>
      <c r="AJ17" s="11" t="str">
        <f aca="false">IF(AND(18&gt;=$H17,18&lt;=$J17),1,"")</f>
        <v/>
      </c>
      <c r="AK17" s="11" t="str">
        <f aca="false">IF(AND(19&gt;=$H17,19&lt;=$J17),1,"")</f>
        <v/>
      </c>
      <c r="AL17" s="11" t="str">
        <f aca="false">IF(AND(20&gt;=$H17,20&lt;=$J17),1,"")</f>
        <v/>
      </c>
      <c r="AM17" s="11" t="str">
        <f aca="false">IF(AND(21&gt;=$H17,21&lt;=$J17),1,"")</f>
        <v/>
      </c>
      <c r="AN17" s="11" t="str">
        <f aca="false">IF(AND(22&gt;=$H17,22&lt;=$J17),1,"")</f>
        <v/>
      </c>
      <c r="AO17" s="11" t="str">
        <f aca="false">IF(AND(23&gt;=$H17,23&lt;=$J17),1,"")</f>
        <v/>
      </c>
      <c r="AP17" s="11" t="str">
        <f aca="false">IF(AND(24&gt;=$H17,24&lt;=$J17),1,"")</f>
        <v/>
      </c>
    </row>
    <row r="18" customFormat="false" ht="49.5" hidden="false" customHeight="true" outlineLevel="0" collapsed="false">
      <c r="A18" s="5" t="s">
        <v>136</v>
      </c>
      <c r="B18" s="6" t="s">
        <v>137</v>
      </c>
      <c r="C18" s="6" t="s">
        <v>138</v>
      </c>
      <c r="D18" s="6" t="s">
        <v>139</v>
      </c>
      <c r="E18" s="5" t="s">
        <v>133</v>
      </c>
      <c r="F18" s="5" t="s">
        <v>66</v>
      </c>
      <c r="G18" s="6" t="s">
        <v>140</v>
      </c>
      <c r="H18" s="7" t="n">
        <v>4</v>
      </c>
      <c r="I18" s="7" t="n">
        <v>5</v>
      </c>
      <c r="J18" s="5" t="n">
        <f aca="false">H18+I18-1</f>
        <v>8</v>
      </c>
      <c r="K18" s="7" t="n">
        <v>3</v>
      </c>
      <c r="L18" s="7" t="n">
        <v>3</v>
      </c>
      <c r="M18" s="8" t="n">
        <f aca="false">MAX(INDEX(Ref_Risques!$C$3:$C$15,MATCH(E18,Ref_Risques!$A$3:$A$15,0)),INDEX(Ref_Risques!$C$3:$C$15,MATCH(F18,Ref_Risques!$A$3:$A$15,0)))</f>
        <v>16</v>
      </c>
      <c r="N18" s="9" t="n">
        <f aca="false">2*M18+4*L18+2*(6-K18)</f>
        <v>50</v>
      </c>
      <c r="O18" s="10" t="str">
        <f aca="false">IF(N18&gt;=62,"P1",IF(N18&gt;=48,"P2","P3"))</f>
        <v>P2</v>
      </c>
      <c r="P18" s="5" t="str">
        <f aca="false">IF(H18&lt;=3,"0-3 mois",IF(H18&lt;=6,"3-6 mois",IF(H18&lt;=12,"6-12 mois","12-24 mois")))</f>
        <v>3-6 mois</v>
      </c>
      <c r="Q18" s="5" t="s">
        <v>52</v>
      </c>
      <c r="R18" s="6" t="s">
        <v>141</v>
      </c>
      <c r="S18" s="11" t="str">
        <f aca="false">IF(AND(1&gt;=$H18,1&lt;=$J18),1,"")</f>
        <v/>
      </c>
      <c r="T18" s="11" t="str">
        <f aca="false">IF(AND(2&gt;=$H18,2&lt;=$J18),1,"")</f>
        <v/>
      </c>
      <c r="U18" s="11" t="str">
        <f aca="false">IF(AND(3&gt;=$H18,3&lt;=$J18),1,"")</f>
        <v/>
      </c>
      <c r="V18" s="11" t="n">
        <f aca="false">IF(AND(4&gt;=$H18,4&lt;=$J18),1,"")</f>
        <v>1</v>
      </c>
      <c r="W18" s="11" t="n">
        <f aca="false">IF(AND(5&gt;=$H18,5&lt;=$J18),1,"")</f>
        <v>1</v>
      </c>
      <c r="X18" s="11" t="n">
        <f aca="false">IF(AND(6&gt;=$H18,6&lt;=$J18),1,"")</f>
        <v>1</v>
      </c>
      <c r="Y18" s="11" t="n">
        <f aca="false">IF(AND(7&gt;=$H18,7&lt;=$J18),1,"")</f>
        <v>1</v>
      </c>
      <c r="Z18" s="11" t="n">
        <f aca="false">IF(AND(8&gt;=$H18,8&lt;=$J18),1,"")</f>
        <v>1</v>
      </c>
      <c r="AA18" s="11" t="str">
        <f aca="false">IF(AND(9&gt;=$H18,9&lt;=$J18),1,"")</f>
        <v/>
      </c>
      <c r="AB18" s="11" t="str">
        <f aca="false">IF(AND(10&gt;=$H18,10&lt;=$J18),1,"")</f>
        <v/>
      </c>
      <c r="AC18" s="11" t="str">
        <f aca="false">IF(AND(11&gt;=$H18,11&lt;=$J18),1,"")</f>
        <v/>
      </c>
      <c r="AD18" s="11" t="str">
        <f aca="false">IF(AND(12&gt;=$H18,12&lt;=$J18),1,"")</f>
        <v/>
      </c>
      <c r="AE18" s="11" t="str">
        <f aca="false">IF(AND(13&gt;=$H18,13&lt;=$J18),1,"")</f>
        <v/>
      </c>
      <c r="AF18" s="11" t="str">
        <f aca="false">IF(AND(14&gt;=$H18,14&lt;=$J18),1,"")</f>
        <v/>
      </c>
      <c r="AG18" s="11" t="str">
        <f aca="false">IF(AND(15&gt;=$H18,15&lt;=$J18),1,"")</f>
        <v/>
      </c>
      <c r="AH18" s="11" t="str">
        <f aca="false">IF(AND(16&gt;=$H18,16&lt;=$J18),1,"")</f>
        <v/>
      </c>
      <c r="AI18" s="11" t="str">
        <f aca="false">IF(AND(17&gt;=$H18,17&lt;=$J18),1,"")</f>
        <v/>
      </c>
      <c r="AJ18" s="11" t="str">
        <f aca="false">IF(AND(18&gt;=$H18,18&lt;=$J18),1,"")</f>
        <v/>
      </c>
      <c r="AK18" s="11" t="str">
        <f aca="false">IF(AND(19&gt;=$H18,19&lt;=$J18),1,"")</f>
        <v/>
      </c>
      <c r="AL18" s="11" t="str">
        <f aca="false">IF(AND(20&gt;=$H18,20&lt;=$J18),1,"")</f>
        <v/>
      </c>
      <c r="AM18" s="11" t="str">
        <f aca="false">IF(AND(21&gt;=$H18,21&lt;=$J18),1,"")</f>
        <v/>
      </c>
      <c r="AN18" s="11" t="str">
        <f aca="false">IF(AND(22&gt;=$H18,22&lt;=$J18),1,"")</f>
        <v/>
      </c>
      <c r="AO18" s="11" t="str">
        <f aca="false">IF(AND(23&gt;=$H18,23&lt;=$J18),1,"")</f>
        <v/>
      </c>
      <c r="AP18" s="11" t="str">
        <f aca="false">IF(AND(24&gt;=$H18,24&lt;=$J18),1,"")</f>
        <v/>
      </c>
    </row>
    <row r="19" customFormat="false" ht="49.5" hidden="false" customHeight="true" outlineLevel="0" collapsed="false">
      <c r="A19" s="5" t="s">
        <v>142</v>
      </c>
      <c r="B19" s="6" t="s">
        <v>143</v>
      </c>
      <c r="C19" s="6" t="s">
        <v>144</v>
      </c>
      <c r="D19" s="6" t="s">
        <v>145</v>
      </c>
      <c r="E19" s="5" t="s">
        <v>113</v>
      </c>
      <c r="F19" s="5" t="s">
        <v>113</v>
      </c>
      <c r="G19" s="6" t="s">
        <v>146</v>
      </c>
      <c r="H19" s="7" t="n">
        <v>5</v>
      </c>
      <c r="I19" s="7" t="n">
        <v>4</v>
      </c>
      <c r="J19" s="5" t="n">
        <f aca="false">H19+I19-1</f>
        <v>8</v>
      </c>
      <c r="K19" s="7" t="n">
        <v>2</v>
      </c>
      <c r="L19" s="7" t="n">
        <v>3</v>
      </c>
      <c r="M19" s="8" t="n">
        <f aca="false">MAX(INDEX(Ref_Risques!$C$3:$C$15,MATCH(E19,Ref_Risques!$A$3:$A$15,0)),INDEX(Ref_Risques!$C$3:$C$15,MATCH(F19,Ref_Risques!$A$3:$A$15,0)))</f>
        <v>9</v>
      </c>
      <c r="N19" s="9" t="n">
        <f aca="false">2*M19+4*L19+2*(6-K19)</f>
        <v>38</v>
      </c>
      <c r="O19" s="10" t="str">
        <f aca="false">IF(N19&gt;=62,"P1",IF(N19&gt;=48,"P2","P3"))</f>
        <v>P3</v>
      </c>
      <c r="P19" s="5" t="str">
        <f aca="false">IF(H19&lt;=3,"0-3 mois",IF(H19&lt;=6,"3-6 mois",IF(H19&lt;=12,"6-12 mois","12-24 mois")))</f>
        <v>3-6 mois</v>
      </c>
      <c r="Q19" s="5" t="s">
        <v>52</v>
      </c>
      <c r="R19" s="6" t="s">
        <v>147</v>
      </c>
      <c r="S19" s="11" t="str">
        <f aca="false">IF(AND(1&gt;=$H19,1&lt;=$J19),1,"")</f>
        <v/>
      </c>
      <c r="T19" s="11" t="str">
        <f aca="false">IF(AND(2&gt;=$H19,2&lt;=$J19),1,"")</f>
        <v/>
      </c>
      <c r="U19" s="11" t="str">
        <f aca="false">IF(AND(3&gt;=$H19,3&lt;=$J19),1,"")</f>
        <v/>
      </c>
      <c r="V19" s="11" t="str">
        <f aca="false">IF(AND(4&gt;=$H19,4&lt;=$J19),1,"")</f>
        <v/>
      </c>
      <c r="W19" s="11" t="n">
        <f aca="false">IF(AND(5&gt;=$H19,5&lt;=$J19),1,"")</f>
        <v>1</v>
      </c>
      <c r="X19" s="11" t="n">
        <f aca="false">IF(AND(6&gt;=$H19,6&lt;=$J19),1,"")</f>
        <v>1</v>
      </c>
      <c r="Y19" s="11" t="n">
        <f aca="false">IF(AND(7&gt;=$H19,7&lt;=$J19),1,"")</f>
        <v>1</v>
      </c>
      <c r="Z19" s="11" t="n">
        <f aca="false">IF(AND(8&gt;=$H19,8&lt;=$J19),1,"")</f>
        <v>1</v>
      </c>
      <c r="AA19" s="11" t="str">
        <f aca="false">IF(AND(9&gt;=$H19,9&lt;=$J19),1,"")</f>
        <v/>
      </c>
      <c r="AB19" s="11" t="str">
        <f aca="false">IF(AND(10&gt;=$H19,10&lt;=$J19),1,"")</f>
        <v/>
      </c>
      <c r="AC19" s="11" t="str">
        <f aca="false">IF(AND(11&gt;=$H19,11&lt;=$J19),1,"")</f>
        <v/>
      </c>
      <c r="AD19" s="11" t="str">
        <f aca="false">IF(AND(12&gt;=$H19,12&lt;=$J19),1,"")</f>
        <v/>
      </c>
      <c r="AE19" s="11" t="str">
        <f aca="false">IF(AND(13&gt;=$H19,13&lt;=$J19),1,"")</f>
        <v/>
      </c>
      <c r="AF19" s="11" t="str">
        <f aca="false">IF(AND(14&gt;=$H19,14&lt;=$J19),1,"")</f>
        <v/>
      </c>
      <c r="AG19" s="11" t="str">
        <f aca="false">IF(AND(15&gt;=$H19,15&lt;=$J19),1,"")</f>
        <v/>
      </c>
      <c r="AH19" s="11" t="str">
        <f aca="false">IF(AND(16&gt;=$H19,16&lt;=$J19),1,"")</f>
        <v/>
      </c>
      <c r="AI19" s="11" t="str">
        <f aca="false">IF(AND(17&gt;=$H19,17&lt;=$J19),1,"")</f>
        <v/>
      </c>
      <c r="AJ19" s="11" t="str">
        <f aca="false">IF(AND(18&gt;=$H19,18&lt;=$J19),1,"")</f>
        <v/>
      </c>
      <c r="AK19" s="11" t="str">
        <f aca="false">IF(AND(19&gt;=$H19,19&lt;=$J19),1,"")</f>
        <v/>
      </c>
      <c r="AL19" s="11" t="str">
        <f aca="false">IF(AND(20&gt;=$H19,20&lt;=$J19),1,"")</f>
        <v/>
      </c>
      <c r="AM19" s="11" t="str">
        <f aca="false">IF(AND(21&gt;=$H19,21&lt;=$J19),1,"")</f>
        <v/>
      </c>
      <c r="AN19" s="11" t="str">
        <f aca="false">IF(AND(22&gt;=$H19,22&lt;=$J19),1,"")</f>
        <v/>
      </c>
      <c r="AO19" s="11" t="str">
        <f aca="false">IF(AND(23&gt;=$H19,23&lt;=$J19),1,"")</f>
        <v/>
      </c>
      <c r="AP19" s="11" t="str">
        <f aca="false">IF(AND(24&gt;=$H19,24&lt;=$J19),1,"")</f>
        <v/>
      </c>
    </row>
    <row r="20" customFormat="false" ht="49.5" hidden="false" customHeight="true" outlineLevel="0" collapsed="false">
      <c r="A20" s="5" t="s">
        <v>148</v>
      </c>
      <c r="B20" s="6" t="s">
        <v>149</v>
      </c>
      <c r="C20" s="6" t="s">
        <v>150</v>
      </c>
      <c r="D20" s="6" t="s">
        <v>151</v>
      </c>
      <c r="E20" s="5" t="s">
        <v>50</v>
      </c>
      <c r="F20" s="5" t="s">
        <v>59</v>
      </c>
      <c r="G20" s="6" t="s">
        <v>152</v>
      </c>
      <c r="H20" s="7" t="n">
        <v>7</v>
      </c>
      <c r="I20" s="7" t="n">
        <v>6</v>
      </c>
      <c r="J20" s="5" t="n">
        <f aca="false">H20+I20-1</f>
        <v>12</v>
      </c>
      <c r="K20" s="7" t="n">
        <v>4</v>
      </c>
      <c r="L20" s="7" t="n">
        <v>4</v>
      </c>
      <c r="M20" s="8" t="n">
        <f aca="false">MAX(INDEX(Ref_Risques!$C$3:$C$15,MATCH(E20,Ref_Risques!$A$3:$A$15,0)),INDEX(Ref_Risques!$C$3:$C$15,MATCH(F20,Ref_Risques!$A$3:$A$15,0)))</f>
        <v>20</v>
      </c>
      <c r="N20" s="9" t="n">
        <f aca="false">2*M20+4*L20+2*(6-K20)</f>
        <v>60</v>
      </c>
      <c r="O20" s="10" t="str">
        <f aca="false">IF(N20&gt;=62,"P1",IF(N20&gt;=48,"P2","P3"))</f>
        <v>P2</v>
      </c>
      <c r="P20" s="5" t="str">
        <f aca="false">IF(H20&lt;=3,"0-3 mois",IF(H20&lt;=6,"3-6 mois",IF(H20&lt;=12,"6-12 mois","12-24 mois")))</f>
        <v>6-12 mois</v>
      </c>
      <c r="Q20" s="5" t="s">
        <v>69</v>
      </c>
      <c r="R20" s="6" t="s">
        <v>153</v>
      </c>
      <c r="S20" s="11" t="str">
        <f aca="false">IF(AND(1&gt;=$H20,1&lt;=$J20),1,"")</f>
        <v/>
      </c>
      <c r="T20" s="11" t="str">
        <f aca="false">IF(AND(2&gt;=$H20,2&lt;=$J20),1,"")</f>
        <v/>
      </c>
      <c r="U20" s="11" t="str">
        <f aca="false">IF(AND(3&gt;=$H20,3&lt;=$J20),1,"")</f>
        <v/>
      </c>
      <c r="V20" s="11" t="str">
        <f aca="false">IF(AND(4&gt;=$H20,4&lt;=$J20),1,"")</f>
        <v/>
      </c>
      <c r="W20" s="11" t="str">
        <f aca="false">IF(AND(5&gt;=$H20,5&lt;=$J20),1,"")</f>
        <v/>
      </c>
      <c r="X20" s="11" t="str">
        <f aca="false">IF(AND(6&gt;=$H20,6&lt;=$J20),1,"")</f>
        <v/>
      </c>
      <c r="Y20" s="11" t="n">
        <f aca="false">IF(AND(7&gt;=$H20,7&lt;=$J20),1,"")</f>
        <v>1</v>
      </c>
      <c r="Z20" s="11" t="n">
        <f aca="false">IF(AND(8&gt;=$H20,8&lt;=$J20),1,"")</f>
        <v>1</v>
      </c>
      <c r="AA20" s="11" t="n">
        <f aca="false">IF(AND(9&gt;=$H20,9&lt;=$J20),1,"")</f>
        <v>1</v>
      </c>
      <c r="AB20" s="11" t="n">
        <f aca="false">IF(AND(10&gt;=$H20,10&lt;=$J20),1,"")</f>
        <v>1</v>
      </c>
      <c r="AC20" s="11" t="n">
        <f aca="false">IF(AND(11&gt;=$H20,11&lt;=$J20),1,"")</f>
        <v>1</v>
      </c>
      <c r="AD20" s="11" t="n">
        <f aca="false">IF(AND(12&gt;=$H20,12&lt;=$J20),1,"")</f>
        <v>1</v>
      </c>
      <c r="AE20" s="11" t="str">
        <f aca="false">IF(AND(13&gt;=$H20,13&lt;=$J20),1,"")</f>
        <v/>
      </c>
      <c r="AF20" s="11" t="str">
        <f aca="false">IF(AND(14&gt;=$H20,14&lt;=$J20),1,"")</f>
        <v/>
      </c>
      <c r="AG20" s="11" t="str">
        <f aca="false">IF(AND(15&gt;=$H20,15&lt;=$J20),1,"")</f>
        <v/>
      </c>
      <c r="AH20" s="11" t="str">
        <f aca="false">IF(AND(16&gt;=$H20,16&lt;=$J20),1,"")</f>
        <v/>
      </c>
      <c r="AI20" s="11" t="str">
        <f aca="false">IF(AND(17&gt;=$H20,17&lt;=$J20),1,"")</f>
        <v/>
      </c>
      <c r="AJ20" s="11" t="str">
        <f aca="false">IF(AND(18&gt;=$H20,18&lt;=$J20),1,"")</f>
        <v/>
      </c>
      <c r="AK20" s="11" t="str">
        <f aca="false">IF(AND(19&gt;=$H20,19&lt;=$J20),1,"")</f>
        <v/>
      </c>
      <c r="AL20" s="11" t="str">
        <f aca="false">IF(AND(20&gt;=$H20,20&lt;=$J20),1,"")</f>
        <v/>
      </c>
      <c r="AM20" s="11" t="str">
        <f aca="false">IF(AND(21&gt;=$H20,21&lt;=$J20),1,"")</f>
        <v/>
      </c>
      <c r="AN20" s="11" t="str">
        <f aca="false">IF(AND(22&gt;=$H20,22&lt;=$J20),1,"")</f>
        <v/>
      </c>
      <c r="AO20" s="11" t="str">
        <f aca="false">IF(AND(23&gt;=$H20,23&lt;=$J20),1,"")</f>
        <v/>
      </c>
      <c r="AP20" s="11" t="str">
        <f aca="false">IF(AND(24&gt;=$H20,24&lt;=$J20),1,"")</f>
        <v/>
      </c>
    </row>
    <row r="21" customFormat="false" ht="49.5" hidden="false" customHeight="true" outlineLevel="0" collapsed="false">
      <c r="A21" s="5" t="s">
        <v>154</v>
      </c>
      <c r="B21" s="6" t="s">
        <v>155</v>
      </c>
      <c r="C21" s="6" t="s">
        <v>156</v>
      </c>
      <c r="D21" s="6" t="s">
        <v>157</v>
      </c>
      <c r="E21" s="5" t="s">
        <v>58</v>
      </c>
      <c r="F21" s="5" t="s">
        <v>59</v>
      </c>
      <c r="G21" s="6" t="s">
        <v>158</v>
      </c>
      <c r="H21" s="7" t="n">
        <v>7</v>
      </c>
      <c r="I21" s="7" t="n">
        <v>3</v>
      </c>
      <c r="J21" s="5" t="n">
        <f aca="false">H21+I21-1</f>
        <v>9</v>
      </c>
      <c r="K21" s="7" t="n">
        <v>2</v>
      </c>
      <c r="L21" s="7" t="n">
        <v>3</v>
      </c>
      <c r="M21" s="8" t="n">
        <f aca="false">MAX(INDEX(Ref_Risques!$C$3:$C$15,MATCH(E21,Ref_Risques!$A$3:$A$15,0)),INDEX(Ref_Risques!$C$3:$C$15,MATCH(F21,Ref_Risques!$A$3:$A$15,0)))</f>
        <v>20</v>
      </c>
      <c r="N21" s="9" t="n">
        <f aca="false">2*M21+4*L21+2*(6-K21)</f>
        <v>60</v>
      </c>
      <c r="O21" s="10" t="str">
        <f aca="false">IF(N21&gt;=62,"P1",IF(N21&gt;=48,"P2","P3"))</f>
        <v>P2</v>
      </c>
      <c r="P21" s="5" t="str">
        <f aca="false">IF(H21&lt;=3,"0-3 mois",IF(H21&lt;=6,"3-6 mois",IF(H21&lt;=12,"6-12 mois","12-24 mois")))</f>
        <v>6-12 mois</v>
      </c>
      <c r="Q21" s="5" t="s">
        <v>159</v>
      </c>
      <c r="R21" s="6" t="s">
        <v>160</v>
      </c>
      <c r="S21" s="11" t="str">
        <f aca="false">IF(AND(1&gt;=$H21,1&lt;=$J21),1,"")</f>
        <v/>
      </c>
      <c r="T21" s="11" t="str">
        <f aca="false">IF(AND(2&gt;=$H21,2&lt;=$J21),1,"")</f>
        <v/>
      </c>
      <c r="U21" s="11" t="str">
        <f aca="false">IF(AND(3&gt;=$H21,3&lt;=$J21),1,"")</f>
        <v/>
      </c>
      <c r="V21" s="11" t="str">
        <f aca="false">IF(AND(4&gt;=$H21,4&lt;=$J21),1,"")</f>
        <v/>
      </c>
      <c r="W21" s="11" t="str">
        <f aca="false">IF(AND(5&gt;=$H21,5&lt;=$J21),1,"")</f>
        <v/>
      </c>
      <c r="X21" s="11" t="str">
        <f aca="false">IF(AND(6&gt;=$H21,6&lt;=$J21),1,"")</f>
        <v/>
      </c>
      <c r="Y21" s="11" t="n">
        <f aca="false">IF(AND(7&gt;=$H21,7&lt;=$J21),1,"")</f>
        <v>1</v>
      </c>
      <c r="Z21" s="11" t="n">
        <f aca="false">IF(AND(8&gt;=$H21,8&lt;=$J21),1,"")</f>
        <v>1</v>
      </c>
      <c r="AA21" s="11" t="n">
        <f aca="false">IF(AND(9&gt;=$H21,9&lt;=$J21),1,"")</f>
        <v>1</v>
      </c>
      <c r="AB21" s="11" t="str">
        <f aca="false">IF(AND(10&gt;=$H21,10&lt;=$J21),1,"")</f>
        <v/>
      </c>
      <c r="AC21" s="11" t="str">
        <f aca="false">IF(AND(11&gt;=$H21,11&lt;=$J21),1,"")</f>
        <v/>
      </c>
      <c r="AD21" s="11" t="str">
        <f aca="false">IF(AND(12&gt;=$H21,12&lt;=$J21),1,"")</f>
        <v/>
      </c>
      <c r="AE21" s="11" t="str">
        <f aca="false">IF(AND(13&gt;=$H21,13&lt;=$J21),1,"")</f>
        <v/>
      </c>
      <c r="AF21" s="11" t="str">
        <f aca="false">IF(AND(14&gt;=$H21,14&lt;=$J21),1,"")</f>
        <v/>
      </c>
      <c r="AG21" s="11" t="str">
        <f aca="false">IF(AND(15&gt;=$H21,15&lt;=$J21),1,"")</f>
        <v/>
      </c>
      <c r="AH21" s="11" t="str">
        <f aca="false">IF(AND(16&gt;=$H21,16&lt;=$J21),1,"")</f>
        <v/>
      </c>
      <c r="AI21" s="11" t="str">
        <f aca="false">IF(AND(17&gt;=$H21,17&lt;=$J21),1,"")</f>
        <v/>
      </c>
      <c r="AJ21" s="11" t="str">
        <f aca="false">IF(AND(18&gt;=$H21,18&lt;=$J21),1,"")</f>
        <v/>
      </c>
      <c r="AK21" s="11" t="str">
        <f aca="false">IF(AND(19&gt;=$H21,19&lt;=$J21),1,"")</f>
        <v/>
      </c>
      <c r="AL21" s="11" t="str">
        <f aca="false">IF(AND(20&gt;=$H21,20&lt;=$J21),1,"")</f>
        <v/>
      </c>
      <c r="AM21" s="11" t="str">
        <f aca="false">IF(AND(21&gt;=$H21,21&lt;=$J21),1,"")</f>
        <v/>
      </c>
      <c r="AN21" s="11" t="str">
        <f aca="false">IF(AND(22&gt;=$H21,22&lt;=$J21),1,"")</f>
        <v/>
      </c>
      <c r="AO21" s="11" t="str">
        <f aca="false">IF(AND(23&gt;=$H21,23&lt;=$J21),1,"")</f>
        <v/>
      </c>
      <c r="AP21" s="11" t="str">
        <f aca="false">IF(AND(24&gt;=$H21,24&lt;=$J21),1,"")</f>
        <v/>
      </c>
    </row>
    <row r="22" customFormat="false" ht="49.5" hidden="false" customHeight="true" outlineLevel="0" collapsed="false">
      <c r="A22" s="5" t="s">
        <v>161</v>
      </c>
      <c r="B22" s="6" t="s">
        <v>162</v>
      </c>
      <c r="C22" s="6" t="s">
        <v>163</v>
      </c>
      <c r="D22" s="6" t="s">
        <v>164</v>
      </c>
      <c r="E22" s="5" t="s">
        <v>132</v>
      </c>
      <c r="F22" s="5" t="s">
        <v>132</v>
      </c>
      <c r="G22" s="6" t="s">
        <v>165</v>
      </c>
      <c r="H22" s="7" t="n">
        <v>7</v>
      </c>
      <c r="I22" s="7" t="n">
        <v>4</v>
      </c>
      <c r="J22" s="5" t="n">
        <f aca="false">H22+I22-1</f>
        <v>10</v>
      </c>
      <c r="K22" s="7" t="n">
        <v>3</v>
      </c>
      <c r="L22" s="7" t="n">
        <v>3</v>
      </c>
      <c r="M22" s="8" t="n">
        <f aca="false">MAX(INDEX(Ref_Risques!$C$3:$C$15,MATCH(E22,Ref_Risques!$A$3:$A$15,0)),INDEX(Ref_Risques!$C$3:$C$15,MATCH(F22,Ref_Risques!$A$3:$A$15,0)))</f>
        <v>15</v>
      </c>
      <c r="N22" s="9" t="n">
        <f aca="false">2*M22+4*L22+2*(6-K22)</f>
        <v>48</v>
      </c>
      <c r="O22" s="10" t="str">
        <f aca="false">IF(N22&gt;=62,"P1",IF(N22&gt;=48,"P2","P3"))</f>
        <v>P2</v>
      </c>
      <c r="P22" s="5" t="str">
        <f aca="false">IF(H22&lt;=3,"0-3 mois",IF(H22&lt;=6,"3-6 mois",IF(H22&lt;=12,"6-12 mois","12-24 mois")))</f>
        <v>6-12 mois</v>
      </c>
      <c r="Q22" s="5" t="s">
        <v>128</v>
      </c>
      <c r="R22" s="6" t="s">
        <v>166</v>
      </c>
      <c r="S22" s="11" t="str">
        <f aca="false">IF(AND(1&gt;=$H22,1&lt;=$J22),1,"")</f>
        <v/>
      </c>
      <c r="T22" s="11" t="str">
        <f aca="false">IF(AND(2&gt;=$H22,2&lt;=$J22),1,"")</f>
        <v/>
      </c>
      <c r="U22" s="11" t="str">
        <f aca="false">IF(AND(3&gt;=$H22,3&lt;=$J22),1,"")</f>
        <v/>
      </c>
      <c r="V22" s="11" t="str">
        <f aca="false">IF(AND(4&gt;=$H22,4&lt;=$J22),1,"")</f>
        <v/>
      </c>
      <c r="W22" s="11" t="str">
        <f aca="false">IF(AND(5&gt;=$H22,5&lt;=$J22),1,"")</f>
        <v/>
      </c>
      <c r="X22" s="11" t="str">
        <f aca="false">IF(AND(6&gt;=$H22,6&lt;=$J22),1,"")</f>
        <v/>
      </c>
      <c r="Y22" s="11" t="n">
        <f aca="false">IF(AND(7&gt;=$H22,7&lt;=$J22),1,"")</f>
        <v>1</v>
      </c>
      <c r="Z22" s="11" t="n">
        <f aca="false">IF(AND(8&gt;=$H22,8&lt;=$J22),1,"")</f>
        <v>1</v>
      </c>
      <c r="AA22" s="11" t="n">
        <f aca="false">IF(AND(9&gt;=$H22,9&lt;=$J22),1,"")</f>
        <v>1</v>
      </c>
      <c r="AB22" s="11" t="n">
        <f aca="false">IF(AND(10&gt;=$H22,10&lt;=$J22),1,"")</f>
        <v>1</v>
      </c>
      <c r="AC22" s="11" t="str">
        <f aca="false">IF(AND(11&gt;=$H22,11&lt;=$J22),1,"")</f>
        <v/>
      </c>
      <c r="AD22" s="11" t="str">
        <f aca="false">IF(AND(12&gt;=$H22,12&lt;=$J22),1,"")</f>
        <v/>
      </c>
      <c r="AE22" s="11" t="str">
        <f aca="false">IF(AND(13&gt;=$H22,13&lt;=$J22),1,"")</f>
        <v/>
      </c>
      <c r="AF22" s="11" t="str">
        <f aca="false">IF(AND(14&gt;=$H22,14&lt;=$J22),1,"")</f>
        <v/>
      </c>
      <c r="AG22" s="11" t="str">
        <f aca="false">IF(AND(15&gt;=$H22,15&lt;=$J22),1,"")</f>
        <v/>
      </c>
      <c r="AH22" s="11" t="str">
        <f aca="false">IF(AND(16&gt;=$H22,16&lt;=$J22),1,"")</f>
        <v/>
      </c>
      <c r="AI22" s="11" t="str">
        <f aca="false">IF(AND(17&gt;=$H22,17&lt;=$J22),1,"")</f>
        <v/>
      </c>
      <c r="AJ22" s="11" t="str">
        <f aca="false">IF(AND(18&gt;=$H22,18&lt;=$J22),1,"")</f>
        <v/>
      </c>
      <c r="AK22" s="11" t="str">
        <f aca="false">IF(AND(19&gt;=$H22,19&lt;=$J22),1,"")</f>
        <v/>
      </c>
      <c r="AL22" s="11" t="str">
        <f aca="false">IF(AND(20&gt;=$H22,20&lt;=$J22),1,"")</f>
        <v/>
      </c>
      <c r="AM22" s="11" t="str">
        <f aca="false">IF(AND(21&gt;=$H22,21&lt;=$J22),1,"")</f>
        <v/>
      </c>
      <c r="AN22" s="11" t="str">
        <f aca="false">IF(AND(22&gt;=$H22,22&lt;=$J22),1,"")</f>
        <v/>
      </c>
      <c r="AO22" s="11" t="str">
        <f aca="false">IF(AND(23&gt;=$H22,23&lt;=$J22),1,"")</f>
        <v/>
      </c>
      <c r="AP22" s="11" t="str">
        <f aca="false">IF(AND(24&gt;=$H22,24&lt;=$J22),1,"")</f>
        <v/>
      </c>
    </row>
    <row r="23" customFormat="false" ht="49.5" hidden="false" customHeight="true" outlineLevel="0" collapsed="false">
      <c r="A23" s="5" t="s">
        <v>167</v>
      </c>
      <c r="B23" s="6" t="s">
        <v>168</v>
      </c>
      <c r="C23" s="6" t="s">
        <v>169</v>
      </c>
      <c r="D23" s="6" t="s">
        <v>170</v>
      </c>
      <c r="E23" s="5" t="s">
        <v>106</v>
      </c>
      <c r="F23" s="5" t="s">
        <v>106</v>
      </c>
      <c r="G23" s="6" t="s">
        <v>171</v>
      </c>
      <c r="H23" s="7" t="n">
        <v>7</v>
      </c>
      <c r="I23" s="7" t="n">
        <v>6</v>
      </c>
      <c r="J23" s="5" t="n">
        <f aca="false">H23+I23-1</f>
        <v>12</v>
      </c>
      <c r="K23" s="7" t="n">
        <v>3</v>
      </c>
      <c r="L23" s="7" t="n">
        <v>3</v>
      </c>
      <c r="M23" s="8" t="n">
        <f aca="false">MAX(INDEX(Ref_Risques!$C$3:$C$15,MATCH(E23,Ref_Risques!$A$3:$A$15,0)),INDEX(Ref_Risques!$C$3:$C$15,MATCH(F23,Ref_Risques!$A$3:$A$15,0)))</f>
        <v>15</v>
      </c>
      <c r="N23" s="9" t="n">
        <f aca="false">2*M23+4*L23+2*(6-K23)</f>
        <v>48</v>
      </c>
      <c r="O23" s="10" t="str">
        <f aca="false">IF(N23&gt;=62,"P1",IF(N23&gt;=48,"P2","P3"))</f>
        <v>P2</v>
      </c>
      <c r="P23" s="5" t="str">
        <f aca="false">IF(H23&lt;=3,"0-3 mois",IF(H23&lt;=6,"3-6 mois",IF(H23&lt;=12,"6-12 mois","12-24 mois")))</f>
        <v>6-12 mois</v>
      </c>
      <c r="Q23" s="5" t="s">
        <v>102</v>
      </c>
      <c r="R23" s="6" t="s">
        <v>172</v>
      </c>
      <c r="S23" s="11" t="str">
        <f aca="false">IF(AND(1&gt;=$H23,1&lt;=$J23),1,"")</f>
        <v/>
      </c>
      <c r="T23" s="11" t="str">
        <f aca="false">IF(AND(2&gt;=$H23,2&lt;=$J23),1,"")</f>
        <v/>
      </c>
      <c r="U23" s="11" t="str">
        <f aca="false">IF(AND(3&gt;=$H23,3&lt;=$J23),1,"")</f>
        <v/>
      </c>
      <c r="V23" s="11" t="str">
        <f aca="false">IF(AND(4&gt;=$H23,4&lt;=$J23),1,"")</f>
        <v/>
      </c>
      <c r="W23" s="11" t="str">
        <f aca="false">IF(AND(5&gt;=$H23,5&lt;=$J23),1,"")</f>
        <v/>
      </c>
      <c r="X23" s="11" t="str">
        <f aca="false">IF(AND(6&gt;=$H23,6&lt;=$J23),1,"")</f>
        <v/>
      </c>
      <c r="Y23" s="11" t="n">
        <f aca="false">IF(AND(7&gt;=$H23,7&lt;=$J23),1,"")</f>
        <v>1</v>
      </c>
      <c r="Z23" s="11" t="n">
        <f aca="false">IF(AND(8&gt;=$H23,8&lt;=$J23),1,"")</f>
        <v>1</v>
      </c>
      <c r="AA23" s="11" t="n">
        <f aca="false">IF(AND(9&gt;=$H23,9&lt;=$J23),1,"")</f>
        <v>1</v>
      </c>
      <c r="AB23" s="11" t="n">
        <f aca="false">IF(AND(10&gt;=$H23,10&lt;=$J23),1,"")</f>
        <v>1</v>
      </c>
      <c r="AC23" s="11" t="n">
        <f aca="false">IF(AND(11&gt;=$H23,11&lt;=$J23),1,"")</f>
        <v>1</v>
      </c>
      <c r="AD23" s="11" t="n">
        <f aca="false">IF(AND(12&gt;=$H23,12&lt;=$J23),1,"")</f>
        <v>1</v>
      </c>
      <c r="AE23" s="11" t="str">
        <f aca="false">IF(AND(13&gt;=$H23,13&lt;=$J23),1,"")</f>
        <v/>
      </c>
      <c r="AF23" s="11" t="str">
        <f aca="false">IF(AND(14&gt;=$H23,14&lt;=$J23),1,"")</f>
        <v/>
      </c>
      <c r="AG23" s="11" t="str">
        <f aca="false">IF(AND(15&gt;=$H23,15&lt;=$J23),1,"")</f>
        <v/>
      </c>
      <c r="AH23" s="11" t="str">
        <f aca="false">IF(AND(16&gt;=$H23,16&lt;=$J23),1,"")</f>
        <v/>
      </c>
      <c r="AI23" s="11" t="str">
        <f aca="false">IF(AND(17&gt;=$H23,17&lt;=$J23),1,"")</f>
        <v/>
      </c>
      <c r="AJ23" s="11" t="str">
        <f aca="false">IF(AND(18&gt;=$H23,18&lt;=$J23),1,"")</f>
        <v/>
      </c>
      <c r="AK23" s="11" t="str">
        <f aca="false">IF(AND(19&gt;=$H23,19&lt;=$J23),1,"")</f>
        <v/>
      </c>
      <c r="AL23" s="11" t="str">
        <f aca="false">IF(AND(20&gt;=$H23,20&lt;=$J23),1,"")</f>
        <v/>
      </c>
      <c r="AM23" s="11" t="str">
        <f aca="false">IF(AND(21&gt;=$H23,21&lt;=$J23),1,"")</f>
        <v/>
      </c>
      <c r="AN23" s="11" t="str">
        <f aca="false">IF(AND(22&gt;=$H23,22&lt;=$J23),1,"")</f>
        <v/>
      </c>
      <c r="AO23" s="11" t="str">
        <f aca="false">IF(AND(23&gt;=$H23,23&lt;=$J23),1,"")</f>
        <v/>
      </c>
      <c r="AP23" s="11" t="str">
        <f aca="false">IF(AND(24&gt;=$H23,24&lt;=$J23),1,"")</f>
        <v/>
      </c>
    </row>
    <row r="24" customFormat="false" ht="49.5" hidden="false" customHeight="true" outlineLevel="0" collapsed="false">
      <c r="A24" s="5" t="s">
        <v>173</v>
      </c>
      <c r="B24" s="6" t="s">
        <v>174</v>
      </c>
      <c r="C24" s="6" t="s">
        <v>175</v>
      </c>
      <c r="D24" s="6" t="s">
        <v>176</v>
      </c>
      <c r="E24" s="5" t="s">
        <v>177</v>
      </c>
      <c r="F24" s="5" t="s">
        <v>177</v>
      </c>
      <c r="G24" s="6" t="s">
        <v>178</v>
      </c>
      <c r="H24" s="7" t="n">
        <v>7</v>
      </c>
      <c r="I24" s="7" t="n">
        <v>4</v>
      </c>
      <c r="J24" s="5" t="n">
        <f aca="false">H24+I24-1</f>
        <v>10</v>
      </c>
      <c r="K24" s="7" t="n">
        <v>3</v>
      </c>
      <c r="L24" s="7" t="n">
        <v>3</v>
      </c>
      <c r="M24" s="8" t="n">
        <f aca="false">MAX(INDEX(Ref_Risques!$C$3:$C$15,MATCH(E24,Ref_Risques!$A$3:$A$15,0)),INDEX(Ref_Risques!$C$3:$C$15,MATCH(F24,Ref_Risques!$A$3:$A$15,0)))</f>
        <v>12</v>
      </c>
      <c r="N24" s="9" t="n">
        <f aca="false">2*M24+4*L24+2*(6-K24)</f>
        <v>42</v>
      </c>
      <c r="O24" s="10" t="str">
        <f aca="false">IF(N24&gt;=62,"P1",IF(N24&gt;=48,"P2","P3"))</f>
        <v>P3</v>
      </c>
      <c r="P24" s="5" t="str">
        <f aca="false">IF(H24&lt;=3,"0-3 mois",IF(H24&lt;=6,"3-6 mois",IF(H24&lt;=12,"6-12 mois","12-24 mois")))</f>
        <v>6-12 mois</v>
      </c>
      <c r="Q24" s="5" t="s">
        <v>52</v>
      </c>
      <c r="R24" s="6" t="s">
        <v>179</v>
      </c>
      <c r="S24" s="11" t="str">
        <f aca="false">IF(AND(1&gt;=$H24,1&lt;=$J24),1,"")</f>
        <v/>
      </c>
      <c r="T24" s="11" t="str">
        <f aca="false">IF(AND(2&gt;=$H24,2&lt;=$J24),1,"")</f>
        <v/>
      </c>
      <c r="U24" s="11" t="str">
        <f aca="false">IF(AND(3&gt;=$H24,3&lt;=$J24),1,"")</f>
        <v/>
      </c>
      <c r="V24" s="11" t="str">
        <f aca="false">IF(AND(4&gt;=$H24,4&lt;=$J24),1,"")</f>
        <v/>
      </c>
      <c r="W24" s="11" t="str">
        <f aca="false">IF(AND(5&gt;=$H24,5&lt;=$J24),1,"")</f>
        <v/>
      </c>
      <c r="X24" s="11" t="str">
        <f aca="false">IF(AND(6&gt;=$H24,6&lt;=$J24),1,"")</f>
        <v/>
      </c>
      <c r="Y24" s="11" t="n">
        <f aca="false">IF(AND(7&gt;=$H24,7&lt;=$J24),1,"")</f>
        <v>1</v>
      </c>
      <c r="Z24" s="11" t="n">
        <f aca="false">IF(AND(8&gt;=$H24,8&lt;=$J24),1,"")</f>
        <v>1</v>
      </c>
      <c r="AA24" s="11" t="n">
        <f aca="false">IF(AND(9&gt;=$H24,9&lt;=$J24),1,"")</f>
        <v>1</v>
      </c>
      <c r="AB24" s="11" t="n">
        <f aca="false">IF(AND(10&gt;=$H24,10&lt;=$J24),1,"")</f>
        <v>1</v>
      </c>
      <c r="AC24" s="11" t="str">
        <f aca="false">IF(AND(11&gt;=$H24,11&lt;=$J24),1,"")</f>
        <v/>
      </c>
      <c r="AD24" s="11" t="str">
        <f aca="false">IF(AND(12&gt;=$H24,12&lt;=$J24),1,"")</f>
        <v/>
      </c>
      <c r="AE24" s="11" t="str">
        <f aca="false">IF(AND(13&gt;=$H24,13&lt;=$J24),1,"")</f>
        <v/>
      </c>
      <c r="AF24" s="11" t="str">
        <f aca="false">IF(AND(14&gt;=$H24,14&lt;=$J24),1,"")</f>
        <v/>
      </c>
      <c r="AG24" s="11" t="str">
        <f aca="false">IF(AND(15&gt;=$H24,15&lt;=$J24),1,"")</f>
        <v/>
      </c>
      <c r="AH24" s="11" t="str">
        <f aca="false">IF(AND(16&gt;=$H24,16&lt;=$J24),1,"")</f>
        <v/>
      </c>
      <c r="AI24" s="11" t="str">
        <f aca="false">IF(AND(17&gt;=$H24,17&lt;=$J24),1,"")</f>
        <v/>
      </c>
      <c r="AJ24" s="11" t="str">
        <f aca="false">IF(AND(18&gt;=$H24,18&lt;=$J24),1,"")</f>
        <v/>
      </c>
      <c r="AK24" s="11" t="str">
        <f aca="false">IF(AND(19&gt;=$H24,19&lt;=$J24),1,"")</f>
        <v/>
      </c>
      <c r="AL24" s="11" t="str">
        <f aca="false">IF(AND(20&gt;=$H24,20&lt;=$J24),1,"")</f>
        <v/>
      </c>
      <c r="AM24" s="11" t="str">
        <f aca="false">IF(AND(21&gt;=$H24,21&lt;=$J24),1,"")</f>
        <v/>
      </c>
      <c r="AN24" s="11" t="str">
        <f aca="false">IF(AND(22&gt;=$H24,22&lt;=$J24),1,"")</f>
        <v/>
      </c>
      <c r="AO24" s="11" t="str">
        <f aca="false">IF(AND(23&gt;=$H24,23&lt;=$J24),1,"")</f>
        <v/>
      </c>
      <c r="AP24" s="11" t="str">
        <f aca="false">IF(AND(24&gt;=$H24,24&lt;=$J24),1,"")</f>
        <v/>
      </c>
    </row>
    <row r="25" customFormat="false" ht="49.5" hidden="false" customHeight="true" outlineLevel="0" collapsed="false">
      <c r="A25" s="5" t="s">
        <v>180</v>
      </c>
      <c r="B25" s="6" t="s">
        <v>181</v>
      </c>
      <c r="C25" s="6" t="s">
        <v>182</v>
      </c>
      <c r="D25" s="6" t="s">
        <v>79</v>
      </c>
      <c r="E25" s="5" t="s">
        <v>50</v>
      </c>
      <c r="F25" s="5" t="s">
        <v>73</v>
      </c>
      <c r="G25" s="6" t="s">
        <v>183</v>
      </c>
      <c r="H25" s="7" t="n">
        <v>10</v>
      </c>
      <c r="I25" s="7" t="n">
        <v>9</v>
      </c>
      <c r="J25" s="5" t="n">
        <f aca="false">H25+I25-1</f>
        <v>18</v>
      </c>
      <c r="K25" s="7" t="n">
        <v>5</v>
      </c>
      <c r="L25" s="7" t="n">
        <v>3</v>
      </c>
      <c r="M25" s="8" t="n">
        <f aca="false">MAX(INDEX(Ref_Risques!$C$3:$C$15,MATCH(E25,Ref_Risques!$A$3:$A$15,0)),INDEX(Ref_Risques!$C$3:$C$15,MATCH(F25,Ref_Risques!$A$3:$A$15,0)))</f>
        <v>20</v>
      </c>
      <c r="N25" s="9" t="n">
        <f aca="false">2*M25+4*L25+2*(6-K25)</f>
        <v>54</v>
      </c>
      <c r="O25" s="10" t="str">
        <f aca="false">IF(N25&gt;=62,"P1",IF(N25&gt;=48,"P2","P3"))</f>
        <v>P2</v>
      </c>
      <c r="P25" s="5" t="str">
        <f aca="false">IF(H25&lt;=3,"0-3 mois",IF(H25&lt;=6,"3-6 mois",IF(H25&lt;=12,"6-12 mois","12-24 mois")))</f>
        <v>6-12 mois</v>
      </c>
      <c r="Q25" s="5" t="s">
        <v>184</v>
      </c>
      <c r="R25" s="6" t="s">
        <v>185</v>
      </c>
      <c r="S25" s="11" t="str">
        <f aca="false">IF(AND(1&gt;=$H25,1&lt;=$J25),1,"")</f>
        <v/>
      </c>
      <c r="T25" s="11" t="str">
        <f aca="false">IF(AND(2&gt;=$H25,2&lt;=$J25),1,"")</f>
        <v/>
      </c>
      <c r="U25" s="11" t="str">
        <f aca="false">IF(AND(3&gt;=$H25,3&lt;=$J25),1,"")</f>
        <v/>
      </c>
      <c r="V25" s="11" t="str">
        <f aca="false">IF(AND(4&gt;=$H25,4&lt;=$J25),1,"")</f>
        <v/>
      </c>
      <c r="W25" s="11" t="str">
        <f aca="false">IF(AND(5&gt;=$H25,5&lt;=$J25),1,"")</f>
        <v/>
      </c>
      <c r="X25" s="11" t="str">
        <f aca="false">IF(AND(6&gt;=$H25,6&lt;=$J25),1,"")</f>
        <v/>
      </c>
      <c r="Y25" s="11" t="str">
        <f aca="false">IF(AND(7&gt;=$H25,7&lt;=$J25),1,"")</f>
        <v/>
      </c>
      <c r="Z25" s="11" t="str">
        <f aca="false">IF(AND(8&gt;=$H25,8&lt;=$J25),1,"")</f>
        <v/>
      </c>
      <c r="AA25" s="11" t="str">
        <f aca="false">IF(AND(9&gt;=$H25,9&lt;=$J25),1,"")</f>
        <v/>
      </c>
      <c r="AB25" s="11" t="n">
        <f aca="false">IF(AND(10&gt;=$H25,10&lt;=$J25),1,"")</f>
        <v>1</v>
      </c>
      <c r="AC25" s="11" t="n">
        <f aca="false">IF(AND(11&gt;=$H25,11&lt;=$J25),1,"")</f>
        <v>1</v>
      </c>
      <c r="AD25" s="11" t="n">
        <f aca="false">IF(AND(12&gt;=$H25,12&lt;=$J25),1,"")</f>
        <v>1</v>
      </c>
      <c r="AE25" s="11" t="n">
        <f aca="false">IF(AND(13&gt;=$H25,13&lt;=$J25),1,"")</f>
        <v>1</v>
      </c>
      <c r="AF25" s="11" t="n">
        <f aca="false">IF(AND(14&gt;=$H25,14&lt;=$J25),1,"")</f>
        <v>1</v>
      </c>
      <c r="AG25" s="11" t="n">
        <f aca="false">IF(AND(15&gt;=$H25,15&lt;=$J25),1,"")</f>
        <v>1</v>
      </c>
      <c r="AH25" s="11" t="n">
        <f aca="false">IF(AND(16&gt;=$H25,16&lt;=$J25),1,"")</f>
        <v>1</v>
      </c>
      <c r="AI25" s="11" t="n">
        <f aca="false">IF(AND(17&gt;=$H25,17&lt;=$J25),1,"")</f>
        <v>1</v>
      </c>
      <c r="AJ25" s="11" t="n">
        <f aca="false">IF(AND(18&gt;=$H25,18&lt;=$J25),1,"")</f>
        <v>1</v>
      </c>
      <c r="AK25" s="11" t="str">
        <f aca="false">IF(AND(19&gt;=$H25,19&lt;=$J25),1,"")</f>
        <v/>
      </c>
      <c r="AL25" s="11" t="str">
        <f aca="false">IF(AND(20&gt;=$H25,20&lt;=$J25),1,"")</f>
        <v/>
      </c>
      <c r="AM25" s="11" t="str">
        <f aca="false">IF(AND(21&gt;=$H25,21&lt;=$J25),1,"")</f>
        <v/>
      </c>
      <c r="AN25" s="11" t="str">
        <f aca="false">IF(AND(22&gt;=$H25,22&lt;=$J25),1,"")</f>
        <v/>
      </c>
      <c r="AO25" s="11" t="str">
        <f aca="false">IF(AND(23&gt;=$H25,23&lt;=$J25),1,"")</f>
        <v/>
      </c>
      <c r="AP25" s="11" t="str">
        <f aca="false">IF(AND(24&gt;=$H25,24&lt;=$J25),1,"")</f>
        <v/>
      </c>
    </row>
    <row r="26" customFormat="false" ht="49.5" hidden="false" customHeight="true" outlineLevel="0" collapsed="false">
      <c r="A26" s="5" t="s">
        <v>186</v>
      </c>
      <c r="B26" s="6" t="s">
        <v>187</v>
      </c>
      <c r="C26" s="6" t="s">
        <v>188</v>
      </c>
      <c r="D26" s="6" t="s">
        <v>189</v>
      </c>
      <c r="E26" s="5" t="s">
        <v>66</v>
      </c>
      <c r="F26" s="5" t="s">
        <v>59</v>
      </c>
      <c r="G26" s="6" t="s">
        <v>67</v>
      </c>
      <c r="H26" s="7" t="n">
        <v>13</v>
      </c>
      <c r="I26" s="7" t="n">
        <v>12</v>
      </c>
      <c r="J26" s="5" t="n">
        <f aca="false">H26+I26-1</f>
        <v>24</v>
      </c>
      <c r="K26" s="7" t="n">
        <v>4</v>
      </c>
      <c r="L26" s="7" t="n">
        <v>4</v>
      </c>
      <c r="M26" s="8" t="n">
        <f aca="false">MAX(INDEX(Ref_Risques!$C$3:$C$15,MATCH(E26,Ref_Risques!$A$3:$A$15,0)),INDEX(Ref_Risques!$C$3:$C$15,MATCH(F26,Ref_Risques!$A$3:$A$15,0)))</f>
        <v>20</v>
      </c>
      <c r="N26" s="9" t="n">
        <f aca="false">2*M26+4*L26+2*(6-K26)</f>
        <v>60</v>
      </c>
      <c r="O26" s="10" t="str">
        <f aca="false">IF(N26&gt;=62,"P1",IF(N26&gt;=48,"P2","P3"))</f>
        <v>P2</v>
      </c>
      <c r="P26" s="5" t="str">
        <f aca="false">IF(H26&lt;=3,"0-3 mois",IF(H26&lt;=6,"3-6 mois",IF(H26&lt;=12,"6-12 mois","12-24 mois")))</f>
        <v>12-24 mois</v>
      </c>
      <c r="Q26" s="5" t="s">
        <v>62</v>
      </c>
      <c r="R26" s="6" t="s">
        <v>190</v>
      </c>
      <c r="S26" s="11" t="str">
        <f aca="false">IF(AND(1&gt;=$H26,1&lt;=$J26),1,"")</f>
        <v/>
      </c>
      <c r="T26" s="11" t="str">
        <f aca="false">IF(AND(2&gt;=$H26,2&lt;=$J26),1,"")</f>
        <v/>
      </c>
      <c r="U26" s="11" t="str">
        <f aca="false">IF(AND(3&gt;=$H26,3&lt;=$J26),1,"")</f>
        <v/>
      </c>
      <c r="V26" s="11" t="str">
        <f aca="false">IF(AND(4&gt;=$H26,4&lt;=$J26),1,"")</f>
        <v/>
      </c>
      <c r="W26" s="11" t="str">
        <f aca="false">IF(AND(5&gt;=$H26,5&lt;=$J26),1,"")</f>
        <v/>
      </c>
      <c r="X26" s="11" t="str">
        <f aca="false">IF(AND(6&gt;=$H26,6&lt;=$J26),1,"")</f>
        <v/>
      </c>
      <c r="Y26" s="11" t="str">
        <f aca="false">IF(AND(7&gt;=$H26,7&lt;=$J26),1,"")</f>
        <v/>
      </c>
      <c r="Z26" s="11" t="str">
        <f aca="false">IF(AND(8&gt;=$H26,8&lt;=$J26),1,"")</f>
        <v/>
      </c>
      <c r="AA26" s="11" t="str">
        <f aca="false">IF(AND(9&gt;=$H26,9&lt;=$J26),1,"")</f>
        <v/>
      </c>
      <c r="AB26" s="11" t="str">
        <f aca="false">IF(AND(10&gt;=$H26,10&lt;=$J26),1,"")</f>
        <v/>
      </c>
      <c r="AC26" s="11" t="str">
        <f aca="false">IF(AND(11&gt;=$H26,11&lt;=$J26),1,"")</f>
        <v/>
      </c>
      <c r="AD26" s="11" t="str">
        <f aca="false">IF(AND(12&gt;=$H26,12&lt;=$J26),1,"")</f>
        <v/>
      </c>
      <c r="AE26" s="11" t="n">
        <f aca="false">IF(AND(13&gt;=$H26,13&lt;=$J26),1,"")</f>
        <v>1</v>
      </c>
      <c r="AF26" s="11" t="n">
        <f aca="false">IF(AND(14&gt;=$H26,14&lt;=$J26),1,"")</f>
        <v>1</v>
      </c>
      <c r="AG26" s="11" t="n">
        <f aca="false">IF(AND(15&gt;=$H26,15&lt;=$J26),1,"")</f>
        <v>1</v>
      </c>
      <c r="AH26" s="11" t="n">
        <f aca="false">IF(AND(16&gt;=$H26,16&lt;=$J26),1,"")</f>
        <v>1</v>
      </c>
      <c r="AI26" s="11" t="n">
        <f aca="false">IF(AND(17&gt;=$H26,17&lt;=$J26),1,"")</f>
        <v>1</v>
      </c>
      <c r="AJ26" s="11" t="n">
        <f aca="false">IF(AND(18&gt;=$H26,18&lt;=$J26),1,"")</f>
        <v>1</v>
      </c>
      <c r="AK26" s="11" t="n">
        <f aca="false">IF(AND(19&gt;=$H26,19&lt;=$J26),1,"")</f>
        <v>1</v>
      </c>
      <c r="AL26" s="11" t="n">
        <f aca="false">IF(AND(20&gt;=$H26,20&lt;=$J26),1,"")</f>
        <v>1</v>
      </c>
      <c r="AM26" s="11" t="n">
        <f aca="false">IF(AND(21&gt;=$H26,21&lt;=$J26),1,"")</f>
        <v>1</v>
      </c>
      <c r="AN26" s="11" t="n">
        <f aca="false">IF(AND(22&gt;=$H26,22&lt;=$J26),1,"")</f>
        <v>1</v>
      </c>
      <c r="AO26" s="11" t="n">
        <f aca="false">IF(AND(23&gt;=$H26,23&lt;=$J26),1,"")</f>
        <v>1</v>
      </c>
      <c r="AP26" s="11" t="n">
        <f aca="false">IF(AND(24&gt;=$H26,24&lt;=$J26),1,"")</f>
        <v>1</v>
      </c>
    </row>
    <row r="27" customFormat="false" ht="49.5" hidden="false" customHeight="true" outlineLevel="0" collapsed="false">
      <c r="A27" s="5" t="s">
        <v>191</v>
      </c>
      <c r="B27" s="6" t="s">
        <v>192</v>
      </c>
      <c r="C27" s="6" t="s">
        <v>193</v>
      </c>
      <c r="D27" s="6" t="s">
        <v>194</v>
      </c>
      <c r="E27" s="5" t="s">
        <v>132</v>
      </c>
      <c r="F27" s="5" t="s">
        <v>133</v>
      </c>
      <c r="G27" s="6" t="s">
        <v>134</v>
      </c>
      <c r="H27" s="7" t="n">
        <v>13</v>
      </c>
      <c r="I27" s="7" t="n">
        <v>12</v>
      </c>
      <c r="J27" s="5" t="n">
        <f aca="false">H27+I27-1</f>
        <v>24</v>
      </c>
      <c r="K27" s="7" t="n">
        <v>5</v>
      </c>
      <c r="L27" s="7" t="n">
        <v>3</v>
      </c>
      <c r="M27" s="8" t="n">
        <f aca="false">MAX(INDEX(Ref_Risques!$C$3:$C$15,MATCH(E27,Ref_Risques!$A$3:$A$15,0)),INDEX(Ref_Risques!$C$3:$C$15,MATCH(F27,Ref_Risques!$A$3:$A$15,0)))</f>
        <v>15</v>
      </c>
      <c r="N27" s="9" t="n">
        <f aca="false">2*M27+4*L27+2*(6-K27)</f>
        <v>44</v>
      </c>
      <c r="O27" s="10" t="str">
        <f aca="false">IF(N27&gt;=62,"P1",IF(N27&gt;=48,"P2","P3"))</f>
        <v>P3</v>
      </c>
      <c r="P27" s="5" t="str">
        <f aca="false">IF(H27&lt;=3,"0-3 mois",IF(H27&lt;=6,"3-6 mois",IF(H27&lt;=12,"6-12 mois","12-24 mois")))</f>
        <v>12-24 mois</v>
      </c>
      <c r="Q27" s="5" t="s">
        <v>128</v>
      </c>
      <c r="R27" s="6" t="s">
        <v>195</v>
      </c>
      <c r="S27" s="11" t="str">
        <f aca="false">IF(AND(1&gt;=$H27,1&lt;=$J27),1,"")</f>
        <v/>
      </c>
      <c r="T27" s="11" t="str">
        <f aca="false">IF(AND(2&gt;=$H27,2&lt;=$J27),1,"")</f>
        <v/>
      </c>
      <c r="U27" s="11" t="str">
        <f aca="false">IF(AND(3&gt;=$H27,3&lt;=$J27),1,"")</f>
        <v/>
      </c>
      <c r="V27" s="11" t="str">
        <f aca="false">IF(AND(4&gt;=$H27,4&lt;=$J27),1,"")</f>
        <v/>
      </c>
      <c r="W27" s="11" t="str">
        <f aca="false">IF(AND(5&gt;=$H27,5&lt;=$J27),1,"")</f>
        <v/>
      </c>
      <c r="X27" s="11" t="str">
        <f aca="false">IF(AND(6&gt;=$H27,6&lt;=$J27),1,"")</f>
        <v/>
      </c>
      <c r="Y27" s="11" t="str">
        <f aca="false">IF(AND(7&gt;=$H27,7&lt;=$J27),1,"")</f>
        <v/>
      </c>
      <c r="Z27" s="11" t="str">
        <f aca="false">IF(AND(8&gt;=$H27,8&lt;=$J27),1,"")</f>
        <v/>
      </c>
      <c r="AA27" s="11" t="str">
        <f aca="false">IF(AND(9&gt;=$H27,9&lt;=$J27),1,"")</f>
        <v/>
      </c>
      <c r="AB27" s="11" t="str">
        <f aca="false">IF(AND(10&gt;=$H27,10&lt;=$J27),1,"")</f>
        <v/>
      </c>
      <c r="AC27" s="11" t="str">
        <f aca="false">IF(AND(11&gt;=$H27,11&lt;=$J27),1,"")</f>
        <v/>
      </c>
      <c r="AD27" s="11" t="str">
        <f aca="false">IF(AND(12&gt;=$H27,12&lt;=$J27),1,"")</f>
        <v/>
      </c>
      <c r="AE27" s="11" t="n">
        <f aca="false">IF(AND(13&gt;=$H27,13&lt;=$J27),1,"")</f>
        <v>1</v>
      </c>
      <c r="AF27" s="11" t="n">
        <f aca="false">IF(AND(14&gt;=$H27,14&lt;=$J27),1,"")</f>
        <v>1</v>
      </c>
      <c r="AG27" s="11" t="n">
        <f aca="false">IF(AND(15&gt;=$H27,15&lt;=$J27),1,"")</f>
        <v>1</v>
      </c>
      <c r="AH27" s="11" t="n">
        <f aca="false">IF(AND(16&gt;=$H27,16&lt;=$J27),1,"")</f>
        <v>1</v>
      </c>
      <c r="AI27" s="11" t="n">
        <f aca="false">IF(AND(17&gt;=$H27,17&lt;=$J27),1,"")</f>
        <v>1</v>
      </c>
      <c r="AJ27" s="11" t="n">
        <f aca="false">IF(AND(18&gt;=$H27,18&lt;=$J27),1,"")</f>
        <v>1</v>
      </c>
      <c r="AK27" s="11" t="n">
        <f aca="false">IF(AND(19&gt;=$H27,19&lt;=$J27),1,"")</f>
        <v>1</v>
      </c>
      <c r="AL27" s="11" t="n">
        <f aca="false">IF(AND(20&gt;=$H27,20&lt;=$J27),1,"")</f>
        <v>1</v>
      </c>
      <c r="AM27" s="11" t="n">
        <f aca="false">IF(AND(21&gt;=$H27,21&lt;=$J27),1,"")</f>
        <v>1</v>
      </c>
      <c r="AN27" s="11" t="n">
        <f aca="false">IF(AND(22&gt;=$H27,22&lt;=$J27),1,"")</f>
        <v>1</v>
      </c>
      <c r="AO27" s="11" t="n">
        <f aca="false">IF(AND(23&gt;=$H27,23&lt;=$J27),1,"")</f>
        <v>1</v>
      </c>
      <c r="AP27" s="11" t="n">
        <f aca="false">IF(AND(24&gt;=$H27,24&lt;=$J27),1,"")</f>
        <v>1</v>
      </c>
    </row>
    <row r="28" customFormat="false" ht="49.5" hidden="false" customHeight="true" outlineLevel="0" collapsed="false">
      <c r="A28" s="5" t="s">
        <v>196</v>
      </c>
      <c r="B28" s="6" t="s">
        <v>197</v>
      </c>
      <c r="C28" s="6" t="s">
        <v>198</v>
      </c>
      <c r="D28" s="6" t="s">
        <v>199</v>
      </c>
      <c r="E28" s="5" t="s">
        <v>93</v>
      </c>
      <c r="F28" s="5" t="s">
        <v>80</v>
      </c>
      <c r="G28" s="6" t="s">
        <v>94</v>
      </c>
      <c r="H28" s="7" t="n">
        <v>13</v>
      </c>
      <c r="I28" s="7" t="n">
        <v>12</v>
      </c>
      <c r="J28" s="5" t="n">
        <f aca="false">H28+I28-1</f>
        <v>24</v>
      </c>
      <c r="K28" s="7" t="n">
        <v>3</v>
      </c>
      <c r="L28" s="7" t="n">
        <v>2</v>
      </c>
      <c r="M28" s="8" t="n">
        <f aca="false">MAX(INDEX(Ref_Risques!$C$3:$C$15,MATCH(E28,Ref_Risques!$A$3:$A$15,0)),INDEX(Ref_Risques!$C$3:$C$15,MATCH(F28,Ref_Risques!$A$3:$A$15,0)))</f>
        <v>10</v>
      </c>
      <c r="N28" s="9" t="n">
        <f aca="false">2*M28+4*L28+2*(6-K28)</f>
        <v>34</v>
      </c>
      <c r="O28" s="10" t="str">
        <f aca="false">IF(N28&gt;=62,"P1",IF(N28&gt;=48,"P2","P3"))</f>
        <v>P3</v>
      </c>
      <c r="P28" s="5" t="str">
        <f aca="false">IF(H28&lt;=3,"0-3 mois",IF(H28&lt;=6,"3-6 mois",IF(H28&lt;=12,"6-12 mois","12-24 mois")))</f>
        <v>12-24 mois</v>
      </c>
      <c r="Q28" s="5" t="s">
        <v>200</v>
      </c>
      <c r="R28" s="6" t="s">
        <v>201</v>
      </c>
      <c r="S28" s="11" t="str">
        <f aca="false">IF(AND(1&gt;=$H28,1&lt;=$J28),1,"")</f>
        <v/>
      </c>
      <c r="T28" s="11" t="str">
        <f aca="false">IF(AND(2&gt;=$H28,2&lt;=$J28),1,"")</f>
        <v/>
      </c>
      <c r="U28" s="11" t="str">
        <f aca="false">IF(AND(3&gt;=$H28,3&lt;=$J28),1,"")</f>
        <v/>
      </c>
      <c r="V28" s="11" t="str">
        <f aca="false">IF(AND(4&gt;=$H28,4&lt;=$J28),1,"")</f>
        <v/>
      </c>
      <c r="W28" s="11" t="str">
        <f aca="false">IF(AND(5&gt;=$H28,5&lt;=$J28),1,"")</f>
        <v/>
      </c>
      <c r="X28" s="11" t="str">
        <f aca="false">IF(AND(6&gt;=$H28,6&lt;=$J28),1,"")</f>
        <v/>
      </c>
      <c r="Y28" s="11" t="str">
        <f aca="false">IF(AND(7&gt;=$H28,7&lt;=$J28),1,"")</f>
        <v/>
      </c>
      <c r="Z28" s="11" t="str">
        <f aca="false">IF(AND(8&gt;=$H28,8&lt;=$J28),1,"")</f>
        <v/>
      </c>
      <c r="AA28" s="11" t="str">
        <f aca="false">IF(AND(9&gt;=$H28,9&lt;=$J28),1,"")</f>
        <v/>
      </c>
      <c r="AB28" s="11" t="str">
        <f aca="false">IF(AND(10&gt;=$H28,10&lt;=$J28),1,"")</f>
        <v/>
      </c>
      <c r="AC28" s="11" t="str">
        <f aca="false">IF(AND(11&gt;=$H28,11&lt;=$J28),1,"")</f>
        <v/>
      </c>
      <c r="AD28" s="11" t="str">
        <f aca="false">IF(AND(12&gt;=$H28,12&lt;=$J28),1,"")</f>
        <v/>
      </c>
      <c r="AE28" s="11" t="n">
        <f aca="false">IF(AND(13&gt;=$H28,13&lt;=$J28),1,"")</f>
        <v>1</v>
      </c>
      <c r="AF28" s="11" t="n">
        <f aca="false">IF(AND(14&gt;=$H28,14&lt;=$J28),1,"")</f>
        <v>1</v>
      </c>
      <c r="AG28" s="11" t="n">
        <f aca="false">IF(AND(15&gt;=$H28,15&lt;=$J28),1,"")</f>
        <v>1</v>
      </c>
      <c r="AH28" s="11" t="n">
        <f aca="false">IF(AND(16&gt;=$H28,16&lt;=$J28),1,"")</f>
        <v>1</v>
      </c>
      <c r="AI28" s="11" t="n">
        <f aca="false">IF(AND(17&gt;=$H28,17&lt;=$J28),1,"")</f>
        <v>1</v>
      </c>
      <c r="AJ28" s="11" t="n">
        <f aca="false">IF(AND(18&gt;=$H28,18&lt;=$J28),1,"")</f>
        <v>1</v>
      </c>
      <c r="AK28" s="11" t="n">
        <f aca="false">IF(AND(19&gt;=$H28,19&lt;=$J28),1,"")</f>
        <v>1</v>
      </c>
      <c r="AL28" s="11" t="n">
        <f aca="false">IF(AND(20&gt;=$H28,20&lt;=$J28),1,"")</f>
        <v>1</v>
      </c>
      <c r="AM28" s="11" t="n">
        <f aca="false">IF(AND(21&gt;=$H28,21&lt;=$J28),1,"")</f>
        <v>1</v>
      </c>
      <c r="AN28" s="11" t="n">
        <f aca="false">IF(AND(22&gt;=$H28,22&lt;=$J28),1,"")</f>
        <v>1</v>
      </c>
      <c r="AO28" s="11" t="n">
        <f aca="false">IF(AND(23&gt;=$H28,23&lt;=$J28),1,"")</f>
        <v>1</v>
      </c>
      <c r="AP28" s="11" t="n">
        <f aca="false">IF(AND(24&gt;=$H28,24&lt;=$J28),1,"")</f>
        <v>1</v>
      </c>
    </row>
    <row r="29" customFormat="false" ht="49.5" hidden="false" customHeight="true" outlineLevel="0" collapsed="false">
      <c r="A29" s="5" t="s">
        <v>200</v>
      </c>
      <c r="B29" s="6" t="s">
        <v>202</v>
      </c>
      <c r="C29" s="6" t="s">
        <v>203</v>
      </c>
      <c r="D29" s="6" t="s">
        <v>204</v>
      </c>
      <c r="E29" s="5" t="s">
        <v>93</v>
      </c>
      <c r="F29" s="5" t="s">
        <v>49</v>
      </c>
      <c r="G29" s="6" t="s">
        <v>94</v>
      </c>
      <c r="H29" s="7" t="n">
        <v>13</v>
      </c>
      <c r="I29" s="7" t="n">
        <v>8</v>
      </c>
      <c r="J29" s="5" t="n">
        <f aca="false">H29+I29-1</f>
        <v>20</v>
      </c>
      <c r="K29" s="7" t="n">
        <v>3</v>
      </c>
      <c r="L29" s="7" t="n">
        <v>2</v>
      </c>
      <c r="M29" s="8" t="n">
        <f aca="false">MAX(INDEX(Ref_Risques!$C$3:$C$15,MATCH(E29,Ref_Risques!$A$3:$A$15,0)),INDEX(Ref_Risques!$C$3:$C$15,MATCH(F29,Ref_Risques!$A$3:$A$15,0)))</f>
        <v>9</v>
      </c>
      <c r="N29" s="9" t="n">
        <f aca="false">2*M29+4*L29+2*(6-K29)</f>
        <v>32</v>
      </c>
      <c r="O29" s="10" t="str">
        <f aca="false">IF(N29&gt;=62,"P1",IF(N29&gt;=48,"P2","P3"))</f>
        <v>P3</v>
      </c>
      <c r="P29" s="5" t="str">
        <f aca="false">IF(H29&lt;=3,"0-3 mois",IF(H29&lt;=6,"3-6 mois",IF(H29&lt;=12,"6-12 mois","12-24 mois")))</f>
        <v>12-24 mois</v>
      </c>
      <c r="Q29" s="5" t="s">
        <v>83</v>
      </c>
      <c r="R29" s="6" t="s">
        <v>205</v>
      </c>
      <c r="S29" s="11" t="str">
        <f aca="false">IF(AND(1&gt;=$H29,1&lt;=$J29),1,"")</f>
        <v/>
      </c>
      <c r="T29" s="11" t="str">
        <f aca="false">IF(AND(2&gt;=$H29,2&lt;=$J29),1,"")</f>
        <v/>
      </c>
      <c r="U29" s="11" t="str">
        <f aca="false">IF(AND(3&gt;=$H29,3&lt;=$J29),1,"")</f>
        <v/>
      </c>
      <c r="V29" s="11" t="str">
        <f aca="false">IF(AND(4&gt;=$H29,4&lt;=$J29),1,"")</f>
        <v/>
      </c>
      <c r="W29" s="11" t="str">
        <f aca="false">IF(AND(5&gt;=$H29,5&lt;=$J29),1,"")</f>
        <v/>
      </c>
      <c r="X29" s="11" t="str">
        <f aca="false">IF(AND(6&gt;=$H29,6&lt;=$J29),1,"")</f>
        <v/>
      </c>
      <c r="Y29" s="11" t="str">
        <f aca="false">IF(AND(7&gt;=$H29,7&lt;=$J29),1,"")</f>
        <v/>
      </c>
      <c r="Z29" s="11" t="str">
        <f aca="false">IF(AND(8&gt;=$H29,8&lt;=$J29),1,"")</f>
        <v/>
      </c>
      <c r="AA29" s="11" t="str">
        <f aca="false">IF(AND(9&gt;=$H29,9&lt;=$J29),1,"")</f>
        <v/>
      </c>
      <c r="AB29" s="11" t="str">
        <f aca="false">IF(AND(10&gt;=$H29,10&lt;=$J29),1,"")</f>
        <v/>
      </c>
      <c r="AC29" s="11" t="str">
        <f aca="false">IF(AND(11&gt;=$H29,11&lt;=$J29),1,"")</f>
        <v/>
      </c>
      <c r="AD29" s="11" t="str">
        <f aca="false">IF(AND(12&gt;=$H29,12&lt;=$J29),1,"")</f>
        <v/>
      </c>
      <c r="AE29" s="11" t="n">
        <f aca="false">IF(AND(13&gt;=$H29,13&lt;=$J29),1,"")</f>
        <v>1</v>
      </c>
      <c r="AF29" s="11" t="n">
        <f aca="false">IF(AND(14&gt;=$H29,14&lt;=$J29),1,"")</f>
        <v>1</v>
      </c>
      <c r="AG29" s="11" t="n">
        <f aca="false">IF(AND(15&gt;=$H29,15&lt;=$J29),1,"")</f>
        <v>1</v>
      </c>
      <c r="AH29" s="11" t="n">
        <f aca="false">IF(AND(16&gt;=$H29,16&lt;=$J29),1,"")</f>
        <v>1</v>
      </c>
      <c r="AI29" s="11" t="n">
        <f aca="false">IF(AND(17&gt;=$H29,17&lt;=$J29),1,"")</f>
        <v>1</v>
      </c>
      <c r="AJ29" s="11" t="n">
        <f aca="false">IF(AND(18&gt;=$H29,18&lt;=$J29),1,"")</f>
        <v>1</v>
      </c>
      <c r="AK29" s="11" t="n">
        <f aca="false">IF(AND(19&gt;=$H29,19&lt;=$J29),1,"")</f>
        <v>1</v>
      </c>
      <c r="AL29" s="11" t="n">
        <f aca="false">IF(AND(20&gt;=$H29,20&lt;=$J29),1,"")</f>
        <v>1</v>
      </c>
      <c r="AM29" s="11" t="str">
        <f aca="false">IF(AND(21&gt;=$H29,21&lt;=$J29),1,"")</f>
        <v/>
      </c>
      <c r="AN29" s="11" t="str">
        <f aca="false">IF(AND(22&gt;=$H29,22&lt;=$J29),1,"")</f>
        <v/>
      </c>
      <c r="AO29" s="11" t="str">
        <f aca="false">IF(AND(23&gt;=$H29,23&lt;=$J29),1,"")</f>
        <v/>
      </c>
      <c r="AP29" s="11" t="str">
        <f aca="false">IF(AND(24&gt;=$H29,24&lt;=$J29),1,"")</f>
        <v/>
      </c>
    </row>
    <row r="30" customFormat="false" ht="49.5" hidden="false" customHeight="true" outlineLevel="0" collapsed="false">
      <c r="A30" s="5" t="s">
        <v>206</v>
      </c>
      <c r="B30" s="6" t="s">
        <v>207</v>
      </c>
      <c r="C30" s="6" t="s">
        <v>208</v>
      </c>
      <c r="D30" s="6" t="s">
        <v>209</v>
      </c>
      <c r="E30" s="5" t="s">
        <v>49</v>
      </c>
      <c r="F30" s="5" t="s">
        <v>49</v>
      </c>
      <c r="G30" s="6" t="s">
        <v>210</v>
      </c>
      <c r="H30" s="7" t="n">
        <v>13</v>
      </c>
      <c r="I30" s="7" t="n">
        <v>6</v>
      </c>
      <c r="J30" s="5" t="n">
        <f aca="false">H30+I30-1</f>
        <v>18</v>
      </c>
      <c r="K30" s="7" t="n">
        <v>3</v>
      </c>
      <c r="L30" s="7" t="n">
        <v>2</v>
      </c>
      <c r="M30" s="8" t="n">
        <f aca="false">MAX(INDEX(Ref_Risques!$C$3:$C$15,MATCH(E30,Ref_Risques!$A$3:$A$15,0)),INDEX(Ref_Risques!$C$3:$C$15,MATCH(F30,Ref_Risques!$A$3:$A$15,0)))</f>
        <v>9</v>
      </c>
      <c r="N30" s="9" t="n">
        <f aca="false">2*M30+4*L30+2*(6-K30)</f>
        <v>32</v>
      </c>
      <c r="O30" s="10" t="str">
        <f aca="false">IF(N30&gt;=62,"P1",IF(N30&gt;=48,"P2","P3"))</f>
        <v>P3</v>
      </c>
      <c r="P30" s="5" t="str">
        <f aca="false">IF(H30&lt;=3,"0-3 mois",IF(H30&lt;=6,"3-6 mois",IF(H30&lt;=12,"6-12 mois","12-24 mois")))</f>
        <v>12-24 mois</v>
      </c>
      <c r="Q30" s="5" t="s">
        <v>83</v>
      </c>
      <c r="R30" s="6" t="s">
        <v>211</v>
      </c>
      <c r="S30" s="11" t="str">
        <f aca="false">IF(AND(1&gt;=$H30,1&lt;=$J30),1,"")</f>
        <v/>
      </c>
      <c r="T30" s="11" t="str">
        <f aca="false">IF(AND(2&gt;=$H30,2&lt;=$J30),1,"")</f>
        <v/>
      </c>
      <c r="U30" s="11" t="str">
        <f aca="false">IF(AND(3&gt;=$H30,3&lt;=$J30),1,"")</f>
        <v/>
      </c>
      <c r="V30" s="11" t="str">
        <f aca="false">IF(AND(4&gt;=$H30,4&lt;=$J30),1,"")</f>
        <v/>
      </c>
      <c r="W30" s="11" t="str">
        <f aca="false">IF(AND(5&gt;=$H30,5&lt;=$J30),1,"")</f>
        <v/>
      </c>
      <c r="X30" s="11" t="str">
        <f aca="false">IF(AND(6&gt;=$H30,6&lt;=$J30),1,"")</f>
        <v/>
      </c>
      <c r="Y30" s="11" t="str">
        <f aca="false">IF(AND(7&gt;=$H30,7&lt;=$J30),1,"")</f>
        <v/>
      </c>
      <c r="Z30" s="11" t="str">
        <f aca="false">IF(AND(8&gt;=$H30,8&lt;=$J30),1,"")</f>
        <v/>
      </c>
      <c r="AA30" s="11" t="str">
        <f aca="false">IF(AND(9&gt;=$H30,9&lt;=$J30),1,"")</f>
        <v/>
      </c>
      <c r="AB30" s="11" t="str">
        <f aca="false">IF(AND(10&gt;=$H30,10&lt;=$J30),1,"")</f>
        <v/>
      </c>
      <c r="AC30" s="11" t="str">
        <f aca="false">IF(AND(11&gt;=$H30,11&lt;=$J30),1,"")</f>
        <v/>
      </c>
      <c r="AD30" s="11" t="str">
        <f aca="false">IF(AND(12&gt;=$H30,12&lt;=$J30),1,"")</f>
        <v/>
      </c>
      <c r="AE30" s="11" t="n">
        <f aca="false">IF(AND(13&gt;=$H30,13&lt;=$J30),1,"")</f>
        <v>1</v>
      </c>
      <c r="AF30" s="11" t="n">
        <f aca="false">IF(AND(14&gt;=$H30,14&lt;=$J30),1,"")</f>
        <v>1</v>
      </c>
      <c r="AG30" s="11" t="n">
        <f aca="false">IF(AND(15&gt;=$H30,15&lt;=$J30),1,"")</f>
        <v>1</v>
      </c>
      <c r="AH30" s="11" t="n">
        <f aca="false">IF(AND(16&gt;=$H30,16&lt;=$J30),1,"")</f>
        <v>1</v>
      </c>
      <c r="AI30" s="11" t="n">
        <f aca="false">IF(AND(17&gt;=$H30,17&lt;=$J30),1,"")</f>
        <v>1</v>
      </c>
      <c r="AJ30" s="11" t="n">
        <f aca="false">IF(AND(18&gt;=$H30,18&lt;=$J30),1,"")</f>
        <v>1</v>
      </c>
      <c r="AK30" s="11" t="str">
        <f aca="false">IF(AND(19&gt;=$H30,19&lt;=$J30),1,"")</f>
        <v/>
      </c>
      <c r="AL30" s="11" t="str">
        <f aca="false">IF(AND(20&gt;=$H30,20&lt;=$J30),1,"")</f>
        <v/>
      </c>
      <c r="AM30" s="11" t="str">
        <f aca="false">IF(AND(21&gt;=$H30,21&lt;=$J30),1,"")</f>
        <v/>
      </c>
      <c r="AN30" s="11" t="str">
        <f aca="false">IF(AND(22&gt;=$H30,22&lt;=$J30),1,"")</f>
        <v/>
      </c>
      <c r="AO30" s="11" t="str">
        <f aca="false">IF(AND(23&gt;=$H30,23&lt;=$J30),1,"")</f>
        <v/>
      </c>
      <c r="AP30" s="11" t="str">
        <f aca="false">IF(AND(24&gt;=$H30,24&lt;=$J30),1,"")</f>
        <v/>
      </c>
    </row>
  </sheetData>
  <conditionalFormatting sqref="S5:AP30">
    <cfRule type="expression" priority="2" aboveAverage="0" equalAverage="0" bottom="0" percent="0" rank="0" text="" dxfId="0">
      <formula>AND(S5=1,$O5="P1")</formula>
    </cfRule>
    <cfRule type="expression" priority="3" aboveAverage="0" equalAverage="0" bottom="0" percent="0" rank="0" text="" dxfId="1">
      <formula>AND(S5=1,$O5="P2")</formula>
    </cfRule>
    <cfRule type="expression" priority="4" aboveAverage="0" equalAverage="0" bottom="0" percent="0" rank="0" text="" dxfId="2">
      <formula>AND(S5=1,$O5="P3")</formula>
    </cfRule>
  </conditionalFormatting>
  <conditionalFormatting sqref="O5:O30">
    <cfRule type="cellIs" priority="5" operator="equal" aboveAverage="0" equalAverage="0" bottom="0" percent="0" rank="0" text="" dxfId="3">
      <formula>"P1"</formula>
    </cfRule>
    <cfRule type="cellIs" priority="6" operator="equal" aboveAverage="0" equalAverage="0" bottom="0" percent="0" rank="0" text="" dxfId="4">
      <formula>"P2"</formula>
    </cfRule>
    <cfRule type="cellIs" priority="7" operator="equal" aboveAverage="0" equalAverage="0" bottom="0" percent="0" rank="0" text="" dxfId="5">
      <formula>"P3"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50"/>
    <col collapsed="false" customWidth="true" hidden="false" outlineLevel="0" max="4" min="3" style="0" width="14"/>
  </cols>
  <sheetData>
    <row r="1" customFormat="false" ht="17.35" hidden="false" customHeight="false" outlineLevel="0" collapsed="false">
      <c r="A1" s="1" t="s">
        <v>212</v>
      </c>
    </row>
    <row r="2" customFormat="false" ht="31.5" hidden="false" customHeight="true" outlineLevel="0" collapsed="false">
      <c r="A2" s="4" t="s">
        <v>213</v>
      </c>
      <c r="B2" s="4" t="s">
        <v>214</v>
      </c>
      <c r="C2" s="4" t="s">
        <v>215</v>
      </c>
      <c r="D2" s="4" t="s">
        <v>216</v>
      </c>
    </row>
    <row r="3" customFormat="false" ht="15" hidden="false" customHeight="false" outlineLevel="0" collapsed="false">
      <c r="A3" s="5" t="s">
        <v>50</v>
      </c>
      <c r="B3" s="6" t="s">
        <v>217</v>
      </c>
      <c r="C3" s="5" t="n">
        <f aca="false">5*4</f>
        <v>20</v>
      </c>
      <c r="D3" s="5" t="str">
        <f aca="false">IF(C3&gt;=20,"Critique",IF(C3&gt;=15,"Élevé",IF(C3&gt;=8,"Moyen","Faible")))</f>
        <v>Critique</v>
      </c>
    </row>
    <row r="4" customFormat="false" ht="15" hidden="false" customHeight="false" outlineLevel="0" collapsed="false">
      <c r="A4" s="5" t="s">
        <v>59</v>
      </c>
      <c r="B4" s="6" t="s">
        <v>218</v>
      </c>
      <c r="C4" s="5" t="n">
        <f aca="false">5*4</f>
        <v>20</v>
      </c>
      <c r="D4" s="5" t="str">
        <f aca="false">IF(C4&gt;=20,"Critique",IF(C4&gt;=15,"Élevé",IF(C4&gt;=8,"Moyen","Faible")))</f>
        <v>Critique</v>
      </c>
    </row>
    <row r="5" customFormat="false" ht="22.35" hidden="false" customHeight="false" outlineLevel="0" collapsed="false">
      <c r="A5" s="5" t="s">
        <v>106</v>
      </c>
      <c r="B5" s="6" t="s">
        <v>219</v>
      </c>
      <c r="C5" s="5" t="n">
        <f aca="false">5*3</f>
        <v>15</v>
      </c>
      <c r="D5" s="5" t="str">
        <f aca="false">IF(C5&gt;=20,"Critique",IF(C5&gt;=15,"Élevé",IF(C5&gt;=8,"Moyen","Faible")))</f>
        <v>Élevé</v>
      </c>
    </row>
    <row r="6" customFormat="false" ht="15" hidden="false" customHeight="false" outlineLevel="0" collapsed="false">
      <c r="A6" s="5" t="s">
        <v>133</v>
      </c>
      <c r="B6" s="6" t="s">
        <v>220</v>
      </c>
      <c r="C6" s="5" t="n">
        <f aca="false">4*3</f>
        <v>12</v>
      </c>
      <c r="D6" s="5" t="str">
        <f aca="false">IF(C6&gt;=20,"Critique",IF(C6&gt;=15,"Élevé",IF(C6&gt;=8,"Moyen","Faible")))</f>
        <v>Moyen</v>
      </c>
    </row>
    <row r="7" customFormat="false" ht="15" hidden="false" customHeight="false" outlineLevel="0" collapsed="false">
      <c r="A7" s="5" t="s">
        <v>132</v>
      </c>
      <c r="B7" s="6" t="s">
        <v>221</v>
      </c>
      <c r="C7" s="5" t="n">
        <f aca="false">5*3</f>
        <v>15</v>
      </c>
      <c r="D7" s="5" t="str">
        <f aca="false">IF(C7&gt;=20,"Critique",IF(C7&gt;=15,"Élevé",IF(C7&gt;=8,"Moyen","Faible")))</f>
        <v>Élevé</v>
      </c>
    </row>
    <row r="8" customFormat="false" ht="15" hidden="false" customHeight="false" outlineLevel="0" collapsed="false">
      <c r="A8" s="5" t="s">
        <v>66</v>
      </c>
      <c r="B8" s="6" t="s">
        <v>222</v>
      </c>
      <c r="C8" s="5" t="n">
        <f aca="false">4*4</f>
        <v>16</v>
      </c>
      <c r="D8" s="5" t="str">
        <f aca="false">IF(C8&gt;=20,"Critique",IF(C8&gt;=15,"Élevé",IF(C8&gt;=8,"Moyen","Faible")))</f>
        <v>Élevé</v>
      </c>
    </row>
    <row r="9" customFormat="false" ht="22.35" hidden="false" customHeight="false" outlineLevel="0" collapsed="false">
      <c r="A9" s="5" t="s">
        <v>80</v>
      </c>
      <c r="B9" s="6" t="s">
        <v>223</v>
      </c>
      <c r="C9" s="5" t="n">
        <f aca="false">5*2</f>
        <v>10</v>
      </c>
      <c r="D9" s="5" t="str">
        <f aca="false">IF(C9&gt;=20,"Critique",IF(C9&gt;=15,"Élevé",IF(C9&gt;=8,"Moyen","Faible")))</f>
        <v>Moyen</v>
      </c>
    </row>
    <row r="10" customFormat="false" ht="15" hidden="false" customHeight="false" outlineLevel="0" collapsed="false">
      <c r="A10" s="5" t="s">
        <v>73</v>
      </c>
      <c r="B10" s="6" t="s">
        <v>224</v>
      </c>
      <c r="C10" s="5" t="n">
        <f aca="false">4*2</f>
        <v>8</v>
      </c>
      <c r="D10" s="5" t="str">
        <f aca="false">IF(C10&gt;=20,"Critique",IF(C10&gt;=15,"Élevé",IF(C10&gt;=8,"Moyen","Faible")))</f>
        <v>Moyen</v>
      </c>
    </row>
    <row r="11" customFormat="false" ht="15" hidden="false" customHeight="false" outlineLevel="0" collapsed="false">
      <c r="A11" s="5" t="s">
        <v>177</v>
      </c>
      <c r="B11" s="6" t="s">
        <v>225</v>
      </c>
      <c r="C11" s="5" t="n">
        <f aca="false">4*3</f>
        <v>12</v>
      </c>
      <c r="D11" s="5" t="str">
        <f aca="false">IF(C11&gt;=20,"Critique",IF(C11&gt;=15,"Élevé",IF(C11&gt;=8,"Moyen","Faible")))</f>
        <v>Moyen</v>
      </c>
    </row>
    <row r="12" customFormat="false" ht="22.35" hidden="false" customHeight="false" outlineLevel="0" collapsed="false">
      <c r="A12" s="5" t="s">
        <v>58</v>
      </c>
      <c r="B12" s="6" t="s">
        <v>226</v>
      </c>
      <c r="C12" s="5" t="n">
        <f aca="false">4*4</f>
        <v>16</v>
      </c>
      <c r="D12" s="5" t="str">
        <f aca="false">IF(C12&gt;=20,"Critique",IF(C12&gt;=15,"Élevé",IF(C12&gt;=8,"Moyen","Faible")))</f>
        <v>Élevé</v>
      </c>
    </row>
    <row r="13" customFormat="false" ht="15" hidden="false" customHeight="false" outlineLevel="0" collapsed="false">
      <c r="A13" s="5" t="s">
        <v>49</v>
      </c>
      <c r="B13" s="6" t="s">
        <v>227</v>
      </c>
      <c r="C13" s="5" t="n">
        <f aca="false">3*3</f>
        <v>9</v>
      </c>
      <c r="D13" s="5" t="str">
        <f aca="false">IF(C13&gt;=20,"Critique",IF(C13&gt;=15,"Élevé",IF(C13&gt;=8,"Moyen","Faible")))</f>
        <v>Moyen</v>
      </c>
    </row>
    <row r="14" customFormat="false" ht="22.35" hidden="false" customHeight="false" outlineLevel="0" collapsed="false">
      <c r="A14" s="5" t="s">
        <v>93</v>
      </c>
      <c r="B14" s="6" t="s">
        <v>228</v>
      </c>
      <c r="C14" s="5" t="n">
        <f aca="false">3*2</f>
        <v>6</v>
      </c>
      <c r="D14" s="5" t="str">
        <f aca="false">IF(C14&gt;=20,"Critique",IF(C14&gt;=15,"Élevé",IF(C14&gt;=8,"Moyen","Faible")))</f>
        <v>Faible</v>
      </c>
    </row>
    <row r="15" customFormat="false" ht="15" hidden="false" customHeight="false" outlineLevel="0" collapsed="false">
      <c r="A15" s="5" t="s">
        <v>113</v>
      </c>
      <c r="B15" s="6" t="s">
        <v>229</v>
      </c>
      <c r="C15" s="5" t="n">
        <f aca="false">3*3</f>
        <v>9</v>
      </c>
      <c r="D15" s="5" t="str">
        <f aca="false">IF(C15&gt;=20,"Critique",IF(C15&gt;=15,"Élevé",IF(C15&gt;=8,"Moyen","Faible")))</f>
        <v>Moyen</v>
      </c>
    </row>
  </sheetData>
  <conditionalFormatting sqref="D3:D15">
    <cfRule type="cellIs" priority="2" operator="equal" aboveAverage="0" equalAverage="0" bottom="0" percent="0" rank="0" text="" dxfId="3">
      <formula>"Critique"</formula>
    </cfRule>
    <cfRule type="cellIs" priority="3" operator="equal" aboveAverage="0" equalAverage="0" bottom="0" percent="0" rank="0" text="" dxfId="6">
      <formula>"Élevé"</formula>
    </cfRule>
    <cfRule type="cellIs" priority="4" operator="equal" aboveAverage="0" equalAverage="0" bottom="0" percent="0" rank="0" text="" dxfId="7">
      <formula>"Moyen"</formula>
    </cfRule>
    <cfRule type="cellIs" priority="5" operator="equal" aboveAverage="0" equalAverage="0" bottom="0" percent="0" rank="0" text="" dxfId="8">
      <formula>"Faible"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0"/>
    <col collapsed="false" customWidth="true" hidden="false" outlineLevel="0" max="5" min="3" style="0" width="8"/>
    <col collapsed="false" customWidth="true" hidden="false" outlineLevel="0" max="7" min="6" style="0" width="11"/>
  </cols>
  <sheetData>
    <row r="1" customFormat="false" ht="17.35" hidden="false" customHeight="false" outlineLevel="0" collapsed="false">
      <c r="A1" s="1" t="s">
        <v>230</v>
      </c>
    </row>
    <row r="3" customFormat="false" ht="31.5" hidden="false" customHeight="true" outlineLevel="0" collapsed="false">
      <c r="A3" s="4" t="s">
        <v>18</v>
      </c>
      <c r="B3" s="4" t="s">
        <v>231</v>
      </c>
      <c r="C3" s="4" t="s">
        <v>232</v>
      </c>
      <c r="D3" s="4" t="s">
        <v>233</v>
      </c>
      <c r="E3" s="4" t="s">
        <v>234</v>
      </c>
      <c r="F3" s="4" t="s">
        <v>235</v>
      </c>
      <c r="G3" s="4" t="s">
        <v>236</v>
      </c>
    </row>
    <row r="4" customFormat="false" ht="15" hidden="false" customHeight="false" outlineLevel="0" collapsed="false">
      <c r="A4" s="6" t="s">
        <v>237</v>
      </c>
      <c r="B4" s="5" t="n">
        <f aca="false">COUNTIF(Feuille_de_route!$P$5:$P$30,A4)</f>
        <v>8</v>
      </c>
      <c r="C4" s="5" t="n">
        <f aca="false">COUNTIFS(Feuille_de_route!$P$5:$P$30,$A4,Feuille_de_route!$O$5:$O$30,"P1")</f>
        <v>7</v>
      </c>
      <c r="D4" s="5" t="n">
        <f aca="false">COUNTIFS(Feuille_de_route!$P$5:$P$30,$A4,Feuille_de_route!$O$5:$O$30,"P2")</f>
        <v>0</v>
      </c>
      <c r="E4" s="5" t="n">
        <f aca="false">COUNTIFS(Feuille_de_route!$P$5:$P$30,$A4,Feuille_de_route!$O$5:$O$30,"P3")</f>
        <v>1</v>
      </c>
      <c r="F4" s="5" t="n">
        <f aca="false">ROUND(AVERAGEIF(Feuille_de_route!$P$5:$P$30,A4,Feuille_de_route!$K$5:$K$30),1)</f>
        <v>2.3</v>
      </c>
      <c r="G4" s="5" t="n">
        <f aca="false">ROUND(AVERAGEIF(Feuille_de_route!$P$5:$P$30,A4,Feuille_de_route!$L$5:$L$30),1)</f>
        <v>4.5</v>
      </c>
    </row>
    <row r="5" customFormat="false" ht="15" hidden="false" customHeight="false" outlineLevel="0" collapsed="false">
      <c r="A5" s="6" t="s">
        <v>238</v>
      </c>
      <c r="B5" s="5" t="n">
        <f aca="false">COUNTIF(Feuille_de_route!$P$5:$P$30,A5)</f>
        <v>7</v>
      </c>
      <c r="C5" s="5" t="n">
        <f aca="false">COUNTIFS(Feuille_de_route!$P$5:$P$30,$A5,Feuille_de_route!$O$5:$O$30,"P1")</f>
        <v>2</v>
      </c>
      <c r="D5" s="5" t="n">
        <f aca="false">COUNTIFS(Feuille_de_route!$P$5:$P$30,$A5,Feuille_de_route!$O$5:$O$30,"P2")</f>
        <v>4</v>
      </c>
      <c r="E5" s="5" t="n">
        <f aca="false">COUNTIFS(Feuille_de_route!$P$5:$P$30,$A5,Feuille_de_route!$O$5:$O$30,"P3")</f>
        <v>1</v>
      </c>
      <c r="F5" s="5" t="n">
        <f aca="false">ROUND(AVERAGEIF(Feuille_de_route!$P$5:$P$30,A5,Feuille_de_route!$K$5:$K$30),1)</f>
        <v>3.1</v>
      </c>
      <c r="G5" s="5" t="n">
        <f aca="false">ROUND(AVERAGEIF(Feuille_de_route!$P$5:$P$30,A5,Feuille_de_route!$L$5:$L$30),1)</f>
        <v>3.6</v>
      </c>
    </row>
    <row r="6" customFormat="false" ht="15" hidden="false" customHeight="false" outlineLevel="0" collapsed="false">
      <c r="A6" s="6" t="s">
        <v>239</v>
      </c>
      <c r="B6" s="5" t="n">
        <f aca="false">COUNTIF(Feuille_de_route!$P$5:$P$30,A6)</f>
        <v>6</v>
      </c>
      <c r="C6" s="5" t="n">
        <f aca="false">COUNTIFS(Feuille_de_route!$P$5:$P$30,$A6,Feuille_de_route!$O$5:$O$30,"P1")</f>
        <v>0</v>
      </c>
      <c r="D6" s="5" t="n">
        <f aca="false">COUNTIFS(Feuille_de_route!$P$5:$P$30,$A6,Feuille_de_route!$O$5:$O$30,"P2")</f>
        <v>5</v>
      </c>
      <c r="E6" s="5" t="n">
        <f aca="false">COUNTIFS(Feuille_de_route!$P$5:$P$30,$A6,Feuille_de_route!$O$5:$O$30,"P3")</f>
        <v>1</v>
      </c>
      <c r="F6" s="5" t="n">
        <f aca="false">ROUND(AVERAGEIF(Feuille_de_route!$P$5:$P$30,A6,Feuille_de_route!$K$5:$K$30),1)</f>
        <v>3.3</v>
      </c>
      <c r="G6" s="5" t="n">
        <f aca="false">ROUND(AVERAGEIF(Feuille_de_route!$P$5:$P$30,A6,Feuille_de_route!$L$5:$L$30),1)</f>
        <v>3.2</v>
      </c>
    </row>
    <row r="7" customFormat="false" ht="15" hidden="false" customHeight="false" outlineLevel="0" collapsed="false">
      <c r="A7" s="6" t="s">
        <v>240</v>
      </c>
      <c r="B7" s="5" t="n">
        <f aca="false">COUNTIF(Feuille_de_route!$P$5:$P$30,A7)</f>
        <v>5</v>
      </c>
      <c r="C7" s="5" t="n">
        <f aca="false">COUNTIFS(Feuille_de_route!$P$5:$P$30,$A7,Feuille_de_route!$O$5:$O$30,"P1")</f>
        <v>0</v>
      </c>
      <c r="D7" s="5" t="n">
        <f aca="false">COUNTIFS(Feuille_de_route!$P$5:$P$30,$A7,Feuille_de_route!$O$5:$O$30,"P2")</f>
        <v>1</v>
      </c>
      <c r="E7" s="5" t="n">
        <f aca="false">COUNTIFS(Feuille_de_route!$P$5:$P$30,$A7,Feuille_de_route!$O$5:$O$30,"P3")</f>
        <v>4</v>
      </c>
      <c r="F7" s="5" t="n">
        <f aca="false">ROUND(AVERAGEIF(Feuille_de_route!$P$5:$P$30,A7,Feuille_de_route!$K$5:$K$30),1)</f>
        <v>3.6</v>
      </c>
      <c r="G7" s="5" t="n">
        <f aca="false">ROUND(AVERAGEIF(Feuille_de_route!$P$5:$P$30,A7,Feuille_de_route!$L$5:$L$30),1)</f>
        <v>2.6</v>
      </c>
    </row>
    <row r="8" customFormat="false" ht="15" hidden="false" customHeight="false" outlineLevel="0" collapsed="false">
      <c r="A8" s="12" t="s">
        <v>241</v>
      </c>
      <c r="B8" s="9" t="n">
        <f aca="false">SUM(B4:B7)</f>
        <v>26</v>
      </c>
      <c r="C8" s="9" t="n">
        <f aca="false">SUM(C4:C7)</f>
        <v>9</v>
      </c>
      <c r="D8" s="9" t="n">
        <f aca="false">SUM(D4:D7)</f>
        <v>10</v>
      </c>
      <c r="E8" s="9" t="n">
        <f aca="false">SUM(E4:E7)</f>
        <v>7</v>
      </c>
      <c r="F8" s="6"/>
      <c r="G8"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6"/>
    <col collapsed="false" customWidth="true" hidden="false" outlineLevel="0" max="3" min="3" style="0" width="12"/>
    <col collapsed="false" customWidth="true" hidden="false" outlineLevel="0" max="4" min="4" style="0" width="14"/>
    <col collapsed="false" customWidth="true" hidden="false" outlineLevel="0" max="6" min="5" style="0" width="36"/>
  </cols>
  <sheetData>
    <row r="1" customFormat="false" ht="17.35" hidden="false" customHeight="false" outlineLevel="0" collapsed="false">
      <c r="A1" s="1" t="s">
        <v>242</v>
      </c>
    </row>
    <row r="3" customFormat="false" ht="31.5" hidden="false" customHeight="true" outlineLevel="0" collapsed="false">
      <c r="A3" s="4" t="s">
        <v>213</v>
      </c>
      <c r="B3" s="4" t="s">
        <v>243</v>
      </c>
      <c r="C3" s="4" t="s">
        <v>215</v>
      </c>
      <c r="D3" s="4" t="s">
        <v>244</v>
      </c>
      <c r="E3" s="4" t="s">
        <v>6</v>
      </c>
      <c r="F3" s="4" t="s">
        <v>245</v>
      </c>
    </row>
    <row r="4" customFormat="false" ht="22.35" hidden="false" customHeight="false" outlineLevel="0" collapsed="false">
      <c r="A4" s="5" t="s">
        <v>50</v>
      </c>
      <c r="B4" s="6" t="s">
        <v>217</v>
      </c>
      <c r="C4" s="5" t="n">
        <v>20</v>
      </c>
      <c r="D4" s="5" t="n">
        <v>10</v>
      </c>
      <c r="E4" s="6" t="s">
        <v>246</v>
      </c>
      <c r="F4" s="6" t="s">
        <v>247</v>
      </c>
    </row>
    <row r="5" customFormat="false" ht="15" hidden="false" customHeight="false" outlineLevel="0" collapsed="false">
      <c r="A5" s="5" t="s">
        <v>59</v>
      </c>
      <c r="B5" s="6" t="s">
        <v>218</v>
      </c>
      <c r="C5" s="5" t="n">
        <v>20</v>
      </c>
      <c r="D5" s="5" t="n">
        <v>15</v>
      </c>
      <c r="E5" s="6" t="s">
        <v>248</v>
      </c>
      <c r="F5" s="6" t="s">
        <v>249</v>
      </c>
    </row>
    <row r="6" customFormat="false" ht="22.35" hidden="false" customHeight="false" outlineLevel="0" collapsed="false">
      <c r="A6" s="5" t="s">
        <v>106</v>
      </c>
      <c r="B6" s="6" t="s">
        <v>219</v>
      </c>
      <c r="C6" s="5" t="n">
        <v>15</v>
      </c>
      <c r="D6" s="5" t="n">
        <v>10</v>
      </c>
      <c r="E6" s="6" t="s">
        <v>250</v>
      </c>
      <c r="F6" s="6" t="s">
        <v>251</v>
      </c>
    </row>
    <row r="7" customFormat="false" ht="22.35" hidden="false" customHeight="false" outlineLevel="0" collapsed="false">
      <c r="A7" s="5" t="s">
        <v>133</v>
      </c>
      <c r="B7" s="6" t="s">
        <v>220</v>
      </c>
      <c r="C7" s="5" t="n">
        <v>12</v>
      </c>
      <c r="D7" s="5" t="n">
        <v>8</v>
      </c>
      <c r="E7" s="6" t="s">
        <v>252</v>
      </c>
      <c r="F7" s="6" t="s">
        <v>253</v>
      </c>
    </row>
    <row r="8" customFormat="false" ht="15" hidden="false" customHeight="false" outlineLevel="0" collapsed="false">
      <c r="A8" s="5" t="s">
        <v>132</v>
      </c>
      <c r="B8" s="6" t="s">
        <v>221</v>
      </c>
      <c r="C8" s="5" t="n">
        <v>15</v>
      </c>
      <c r="D8" s="5" t="n">
        <v>10</v>
      </c>
      <c r="E8" s="6" t="s">
        <v>254</v>
      </c>
      <c r="F8" s="6" t="s">
        <v>255</v>
      </c>
    </row>
    <row r="9" customFormat="false" ht="15" hidden="false" customHeight="false" outlineLevel="0" collapsed="false">
      <c r="A9" s="5" t="s">
        <v>66</v>
      </c>
      <c r="B9" s="6" t="s">
        <v>222</v>
      </c>
      <c r="C9" s="5" t="n">
        <v>16</v>
      </c>
      <c r="D9" s="5" t="n">
        <v>12</v>
      </c>
      <c r="E9" s="6" t="s">
        <v>189</v>
      </c>
      <c r="F9" s="6" t="s">
        <v>256</v>
      </c>
    </row>
    <row r="10" customFormat="false" ht="22.35" hidden="false" customHeight="false" outlineLevel="0" collapsed="false">
      <c r="A10" s="5" t="s">
        <v>80</v>
      </c>
      <c r="B10" s="6" t="s">
        <v>223</v>
      </c>
      <c r="C10" s="5" t="n">
        <v>10</v>
      </c>
      <c r="D10" s="5" t="n">
        <v>5</v>
      </c>
      <c r="E10" s="6" t="s">
        <v>257</v>
      </c>
      <c r="F10" s="6" t="s">
        <v>258</v>
      </c>
    </row>
    <row r="11" customFormat="false" ht="15" hidden="false" customHeight="false" outlineLevel="0" collapsed="false">
      <c r="A11" s="5" t="s">
        <v>73</v>
      </c>
      <c r="B11" s="6" t="s">
        <v>224</v>
      </c>
      <c r="C11" s="5" t="n">
        <v>8</v>
      </c>
      <c r="D11" s="5" t="n">
        <v>6</v>
      </c>
      <c r="E11" s="6" t="s">
        <v>125</v>
      </c>
      <c r="F11" s="6" t="s">
        <v>259</v>
      </c>
    </row>
    <row r="12" customFormat="false" ht="15" hidden="false" customHeight="false" outlineLevel="0" collapsed="false">
      <c r="A12" s="5" t="s">
        <v>177</v>
      </c>
      <c r="B12" s="6" t="s">
        <v>225</v>
      </c>
      <c r="C12" s="5" t="n">
        <v>12</v>
      </c>
      <c r="D12" s="5" t="n">
        <v>6</v>
      </c>
      <c r="E12" s="6" t="s">
        <v>176</v>
      </c>
      <c r="F12" s="6" t="s">
        <v>173</v>
      </c>
    </row>
    <row r="13" customFormat="false" ht="22.35" hidden="false" customHeight="false" outlineLevel="0" collapsed="false">
      <c r="A13" s="5" t="s">
        <v>58</v>
      </c>
      <c r="B13" s="6" t="s">
        <v>226</v>
      </c>
      <c r="C13" s="5" t="n">
        <v>16</v>
      </c>
      <c r="D13" s="5" t="n">
        <v>12</v>
      </c>
      <c r="E13" s="6" t="s">
        <v>260</v>
      </c>
      <c r="F13" s="6" t="s">
        <v>261</v>
      </c>
    </row>
    <row r="14" customFormat="false" ht="15" hidden="false" customHeight="false" outlineLevel="0" collapsed="false">
      <c r="A14" s="5" t="s">
        <v>49</v>
      </c>
      <c r="B14" s="6" t="s">
        <v>227</v>
      </c>
      <c r="C14" s="5" t="n">
        <v>9</v>
      </c>
      <c r="D14" s="5" t="n">
        <v>3</v>
      </c>
      <c r="E14" s="6" t="s">
        <v>262</v>
      </c>
      <c r="F14" s="6" t="s">
        <v>263</v>
      </c>
    </row>
    <row r="15" customFormat="false" ht="22.35" hidden="false" customHeight="false" outlineLevel="0" collapsed="false">
      <c r="A15" s="5" t="s">
        <v>93</v>
      </c>
      <c r="B15" s="6" t="s">
        <v>228</v>
      </c>
      <c r="C15" s="5" t="n">
        <v>6</v>
      </c>
      <c r="D15" s="5" t="n">
        <v>3</v>
      </c>
      <c r="E15" s="6" t="s">
        <v>204</v>
      </c>
      <c r="F15" s="6" t="s">
        <v>264</v>
      </c>
    </row>
    <row r="16" customFormat="false" ht="15" hidden="false" customHeight="false" outlineLevel="0" collapsed="false">
      <c r="A16" s="5" t="s">
        <v>113</v>
      </c>
      <c r="B16" s="6" t="s">
        <v>229</v>
      </c>
      <c r="C16" s="5" t="n">
        <v>9</v>
      </c>
      <c r="D16" s="5" t="n">
        <v>6</v>
      </c>
      <c r="E16" s="6" t="s">
        <v>145</v>
      </c>
      <c r="F16" s="6" t="s">
        <v>265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7.35" hidden="false" customHeight="false" outlineLevel="0" collapsed="false">
      <c r="A1" s="1" t="s">
        <v>266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2026-10-06T21:49:02Z</dcterms:created>
  <dc:creator>openpyxl</dc:creator>
  <dc:description/>
  <dc:language>en-US</dc:language>
  <cp:lastModifiedBy/>
  <dcterms:modified xsi:type="dcterms:W3CDTF">2026-10-06T21:49:02Z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